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Football Field" sheetId="2" state="visible" r:id="rId2"/>
    <sheet xmlns:r="http://schemas.openxmlformats.org/officeDocument/2006/relationships" name="DCF (Damodaran)" sheetId="3" state="visible" r:id="rId3"/>
    <sheet xmlns:r="http://schemas.openxmlformats.org/officeDocument/2006/relationships" name="Owner Earnings" sheetId="4" state="visible" r:id="rId4"/>
    <sheet xmlns:r="http://schemas.openxmlformats.org/officeDocument/2006/relationships" name="EV-EBITDA" sheetId="5" state="visible" r:id="rId5"/>
    <sheet xmlns:r="http://schemas.openxmlformats.org/officeDocument/2006/relationships" name="Residual Income" sheetId="6" state="visible" r:id="rId6"/>
    <sheet xmlns:r="http://schemas.openxmlformats.org/officeDocument/2006/relationships" name="Panel" sheetId="7" state="visible" r:id="rId7"/>
    <sheet xmlns:r="http://schemas.openxmlformats.org/officeDocument/2006/relationships" name="Assumptions" sheetId="8" state="visible" r:id="rId8"/>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11827"/>
      <sz val="16"/>
    </font>
    <font>
      <name val="Calibri"/>
      <color rgb="006B7280"/>
      <sz val="9"/>
    </font>
    <font>
      <name val="Calibri"/>
      <color rgb="00111827"/>
      <sz val="10"/>
    </font>
    <font>
      <name val="Calibri"/>
      <b val="1"/>
      <color rgb="006B7280"/>
      <sz val="9"/>
    </font>
    <font>
      <name val="Calibri"/>
      <b val="1"/>
      <color rgb="00111827"/>
      <sz val="12"/>
    </font>
    <font>
      <b val="1"/>
      <color rgb="00111827"/>
      <sz val="10"/>
    </font>
    <font>
      <color rgb="00991B1B"/>
      <sz val="10"/>
    </font>
    <font>
      <color rgb="00166534"/>
      <sz val="10"/>
    </font>
    <font>
      <b val="1"/>
      <color rgb="00B45309"/>
      <sz val="10"/>
    </font>
    <font>
      <b val="1"/>
      <color rgb="00166534"/>
      <sz val="10"/>
    </font>
    <font>
      <b val="1"/>
      <sz val="10"/>
    </font>
    <font>
      <b val="1"/>
      <color rgb="00991B1B"/>
      <sz val="10"/>
    </font>
  </fonts>
  <fills count="3">
    <fill>
      <patternFill/>
    </fill>
    <fill>
      <patternFill patternType="gray125"/>
    </fill>
    <fill>
      <patternFill patternType="solid">
        <fgColor rgb="00F3F4F6"/>
      </patternFill>
    </fill>
  </fills>
  <borders count="2">
    <border>
      <left/>
      <right/>
      <top/>
      <bottom/>
      <diagonal/>
    </border>
    <border>
      <left style="thin">
        <color rgb="00E5E7EB"/>
      </left>
      <right style="thin">
        <color rgb="00E5E7EB"/>
      </right>
      <top style="thin">
        <color rgb="00E5E7EB"/>
      </top>
      <bottom style="thin">
        <color rgb="00E5E7EB"/>
      </bottom>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3" fillId="0" borderId="0" applyAlignment="1" pivotButton="0" quotePrefix="0" xfId="0">
      <alignment vertical="top" wrapText="1"/>
    </xf>
    <xf numFmtId="0" fontId="5" fillId="0" borderId="0" pivotButton="0" quotePrefix="0" xfId="0"/>
    <xf numFmtId="0" fontId="2" fillId="0" borderId="0" applyAlignment="1" pivotButton="0" quotePrefix="0" xfId="0">
      <alignment vertical="top" wrapText="1"/>
    </xf>
    <xf numFmtId="0" fontId="4" fillId="2" borderId="1" pivotButton="0" quotePrefix="0" xfId="0"/>
    <xf numFmtId="0" fontId="6" fillId="0" borderId="0" pivotButton="0" quotePrefix="0" xfId="0"/>
    <xf numFmtId="0" fontId="7" fillId="0" borderId="0" applyAlignment="1" pivotButton="0" quotePrefix="0" xfId="0">
      <alignment horizontal="right"/>
    </xf>
    <xf numFmtId="0" fontId="8" fillId="0" borderId="0" applyAlignment="1" pivotButton="0" quotePrefix="0" xfId="0">
      <alignment horizontal="right"/>
    </xf>
    <xf numFmtId="0" fontId="9" fillId="0" borderId="0" pivotButton="0" quotePrefix="0" xfId="0"/>
    <xf numFmtId="0" fontId="10" fillId="0" borderId="0" pivotButton="0" quotePrefix="0" xfId="0"/>
    <xf numFmtId="0" fontId="11" fillId="0" borderId="0" pivotButton="0" quotePrefix="0" xfId="0"/>
    <xf numFmtId="0" fontId="1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Football field (implied value per share)</a:t>
            </a:r>
          </a:p>
        </rich>
      </tx>
    </title>
    <plotArea>
      <barChart>
        <barDir val="bar"/>
        <grouping val="stacked"/>
        <ser>
          <idx val="0"/>
          <order val="0"/>
          <tx>
            <strRef>
              <f>'Football Field'!K4</f>
            </strRef>
          </tx>
          <spPr>
            <a:solidFill xmlns:a="http://schemas.openxmlformats.org/drawingml/2006/main">
              <a:srgbClr val="FFFFFF"/>
            </a:solidFill>
            <a:ln xmlns:a="http://schemas.openxmlformats.org/drawingml/2006/main">
              <a:noFill/>
              <a:prstDash val="solid"/>
            </a:ln>
          </spPr>
          <cat>
            <numRef>
              <f>'Football Field'!$J$5:$J$16</f>
            </numRef>
          </cat>
          <val>
            <numRef>
              <f>'Football Field'!$K$5:$K$16</f>
            </numRef>
          </val>
        </ser>
        <ser>
          <idx val="1"/>
          <order val="1"/>
          <tx>
            <strRef>
              <f>'Football Field'!L4</f>
            </strRef>
          </tx>
          <spPr>
            <a:solidFill xmlns:a="http://schemas.openxmlformats.org/drawingml/2006/main">
              <a:srgbClr val="2563EB"/>
            </a:solidFill>
            <a:ln xmlns:a="http://schemas.openxmlformats.org/drawingml/2006/main">
              <a:prstDash val="solid"/>
            </a:ln>
          </spPr>
          <cat>
            <numRef>
              <f>'Football Field'!$J$5:$J$16</f>
            </numRef>
          </cat>
          <val>
            <numRef>
              <f>'Football Field'!$L$5:$L$16</f>
            </numRef>
          </val>
        </ser>
        <gapWidth val="150"/>
        <overlap val="100"/>
        <axId val="10"/>
        <axId val="100"/>
      </barChart>
      <catAx>
        <axId val="10"/>
        <scaling>
          <orientation val="minMax"/>
        </scaling>
        <delete val="0"/>
        <axPos val="l"/>
        <majorTickMark val="none"/>
        <minorTickMark val="none"/>
        <crossAx val="100"/>
        <lblOffset val="100"/>
      </catAx>
      <valAx>
        <axId val="100"/>
        <scaling>
          <orientation val="minMax"/>
        </scaling>
        <delete val="0"/>
        <axPos val="l"/>
        <majorGridlines/>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0</col>
      <colOff>0</colOff>
      <row>18</row>
      <rowOff>0</rowOff>
    </from>
    <ext cx="8640000" cy="3888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26" customWidth="1" min="1" max="1"/>
    <col width="70" customWidth="1" min="2" max="2"/>
  </cols>
  <sheetData>
    <row r="1">
      <c r="A1" s="1" t="inlineStr">
        <is>
          <t>NVDA - NVIDIA Corporation</t>
        </is>
      </c>
    </row>
    <row r="2">
      <c r="A2" s="2" t="inlineStr">
        <is>
          <t>Technology - Semiconductors</t>
        </is>
      </c>
    </row>
    <row r="3">
      <c r="A3" s="3" t="inlineStr"/>
    </row>
    <row r="4">
      <c r="A4" s="4" t="inlineStr">
        <is>
          <t>Engine</t>
        </is>
      </c>
      <c r="B4" s="5" t="inlineStr">
        <is>
          <t>srqt2/ai-hedge-fund (translated)</t>
        </is>
      </c>
    </row>
    <row r="5">
      <c r="A5" s="4" t="inlineStr">
        <is>
          <t>Recommendation</t>
        </is>
      </c>
      <c r="B5" s="5" t="inlineStr">
        <is>
          <t>HOLD  (neutral)</t>
        </is>
      </c>
    </row>
    <row r="6">
      <c r="A6" s="4" t="inlineStr">
        <is>
          <t>Current price</t>
        </is>
      </c>
      <c r="B6" s="5" t="inlineStr">
        <is>
          <t>$205</t>
        </is>
      </c>
    </row>
    <row r="7">
      <c r="A7" s="4" t="inlineStr">
        <is>
          <t>12m target (DCF blend)</t>
        </is>
      </c>
      <c r="B7" s="5" t="inlineStr">
        <is>
          <t>$192  (-6.6%)</t>
        </is>
      </c>
    </row>
    <row r="8">
      <c r="A8" s="4" t="inlineStr">
        <is>
          <t>Primary method</t>
        </is>
      </c>
      <c r="B8" s="5" t="inlineStr">
        <is>
          <t>DCF (FCFF, Damodaran)</t>
        </is>
      </c>
    </row>
    <row r="9">
      <c r="A9" s="4" t="inlineStr">
        <is>
          <t>Method rationale</t>
        </is>
      </c>
      <c r="B9" s="5" t="inlineStr">
        <is>
          <t>Matches GER + the real ai-hedge-fund engine; the gap vs GER is the assumptions, specifically the real beta (2.0 vs GER's 1.3) driving a 15.3% WACC instead of 9.5%. No SOTP; the difference lives entirely in the cost of capital.</t>
        </is>
      </c>
    </row>
    <row r="10">
      <c r="A10" s="3" t="inlineStr"/>
    </row>
    <row r="11">
      <c r="A11" s="4" t="inlineStr">
        <is>
          <t>Panel distribution</t>
        </is>
      </c>
      <c r="B11" s="5" t="inlineStr">
        <is>
          <t>4 constructive / 6 neutral / 3 cautious (of 13) - descriptive only</t>
        </is>
      </c>
    </row>
    <row r="12">
      <c r="A12" s="4" t="inlineStr">
        <is>
          <t>Consensus fair value</t>
        </is>
      </c>
      <c r="B12" s="5" t="inlineStr">
        <is>
          <t>$192  (-6.6% vs price)  -&gt;  HOLD</t>
        </is>
      </c>
    </row>
    <row r="13">
      <c r="A13" s="4" t="inlineStr">
        <is>
          <t>Top bull</t>
        </is>
      </c>
      <c r="B13" s="5" t="inlineStr">
        <is>
          <t>cathie_wood: Accelerated computing is the infrastructure layer for all AI; trillion-dollar 5y TAM, leader through an exponential build.</t>
        </is>
      </c>
    </row>
    <row r="14">
      <c r="A14" s="4" t="inlineStr">
        <is>
          <t>Top bear</t>
        </is>
      </c>
      <c r="B14" s="5" t="inlineStr">
        <is>
          <t>aswath_damodaran: At the real 2.2-beta WACC of 15.3%, base intrinsic value is ~$132, about 36% below price.</t>
        </is>
      </c>
    </row>
    <row r="15">
      <c r="A15" s="4" t="inlineStr">
        <is>
          <t>How the call was reached</t>
        </is>
      </c>
      <c r="B15" s="5" t="inlineStr">
        <is>
          <t>4 constructive / 6 neutral / 3 cautious. The 12m target is the confidence-weighted consensus of every analyst's fair value, not a vote and not any single model ($192); it sits below the $205 price, so the call is HOLD. The strict harsh-WACC FCFF DCF ($132) is one bar on the field and is carried as the headline valuation risk.</t>
        </is>
      </c>
    </row>
    <row r="16">
      <c r="A16" s="3" t="inlineStr"/>
    </row>
    <row r="17">
      <c r="A17" s="4" t="inlineStr">
        <is>
          <t>Position limit (risk mgr)</t>
        </is>
      </c>
      <c r="B17" s="5" t="inlineStr">
        <is>
          <t>3.0%</t>
        </is>
      </c>
    </row>
    <row r="18">
      <c r="A18" s="4" t="inlineStr">
        <is>
          <t>For research only</t>
        </is>
      </c>
      <c r="B18" s="5" t="inlineStr">
        <is>
          <t>Not financial advice. Valuation math is deterministic; assumptions are the panel's.</t>
        </is>
      </c>
    </row>
  </sheetData>
  <mergeCells count="5">
    <mergeCell ref="A16:B16"/>
    <mergeCell ref="A2:B2"/>
    <mergeCell ref="A10:B10"/>
    <mergeCell ref="A1:B1"/>
    <mergeCell ref="A3:B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6"/>
  <sheetViews>
    <sheetView workbookViewId="0">
      <selection activeCell="A1" sqref="A1"/>
    </sheetView>
  </sheetViews>
  <sheetFormatPr baseColWidth="8" defaultRowHeight="15"/>
  <cols>
    <col width="34" customWidth="1" min="1" max="1"/>
    <col width="20" customWidth="1" min="2" max="2"/>
    <col width="12" customWidth="1" min="3" max="3"/>
    <col width="12" customWidth="1" min="4" max="4"/>
    <col width="12" customWidth="1" min="5" max="5"/>
    <col width="12" customWidth="1" min="6" max="6"/>
    <col width="14" customWidth="1" min="7" max="7"/>
    <col width="50" customWidth="1" min="8" max="8"/>
    <col hidden="1" width="13" customWidth="1" min="10" max="10"/>
    <col hidden="1" width="13" customWidth="1" min="11" max="11"/>
    <col hidden="1" width="13" customWidth="1" min="12" max="12"/>
  </cols>
  <sheetData>
    <row r="1">
      <c r="A1" s="6" t="inlineStr">
        <is>
          <t>Football field - implied value per share by agent / method</t>
        </is>
      </c>
    </row>
    <row r="2">
      <c r="A2" s="7" t="inlineStr">
        <is>
          <t>Each row is an independent valuation lens from the panel. Bars span low-high; point methods show a single estimate. Compare to current price and the PM blended target.</t>
        </is>
      </c>
    </row>
    <row r="4">
      <c r="A4" s="8" t="inlineStr">
        <is>
          <t>Method / Agent</t>
        </is>
      </c>
      <c r="B4" s="8" t="inlineStr">
        <is>
          <t>Source</t>
        </is>
      </c>
      <c r="C4" s="8" t="inlineStr">
        <is>
          <t>Low</t>
        </is>
      </c>
      <c r="D4" s="8" t="inlineStr">
        <is>
          <t>Base</t>
        </is>
      </c>
      <c r="E4" s="8" t="inlineStr">
        <is>
          <t>High</t>
        </is>
      </c>
      <c r="F4" s="8" t="inlineStr">
        <is>
          <t>vs Price %</t>
        </is>
      </c>
      <c r="G4" s="8" t="inlineStr">
        <is>
          <t>Kind</t>
        </is>
      </c>
      <c r="H4" s="8" t="inlineStr">
        <is>
          <t>Note</t>
        </is>
      </c>
      <c r="K4" t="inlineStr">
        <is>
          <t>offset</t>
        </is>
      </c>
      <c r="L4" t="inlineStr">
        <is>
          <t>span</t>
        </is>
      </c>
    </row>
    <row r="5">
      <c r="A5" s="3" t="inlineStr">
        <is>
          <t>Ben Graham - graham number</t>
        </is>
      </c>
      <c r="B5" s="2" t="inlineStr">
        <is>
          <t>ben_graham</t>
        </is>
      </c>
      <c r="C5" s="3" t="n">
        <v>26.91</v>
      </c>
      <c r="D5" s="9" t="n">
        <v>26.91</v>
      </c>
      <c r="E5" s="3" t="n">
        <v>26.91</v>
      </c>
      <c r="F5" s="10" t="n">
        <v>-86.90000000000001</v>
      </c>
      <c r="G5" s="2" t="inlineStr">
        <is>
          <t>graham</t>
        </is>
      </c>
      <c r="H5" s="7" t="inlineStr"/>
      <c r="J5" t="inlineStr">
        <is>
          <t>Ben Graham - graham number  $27</t>
        </is>
      </c>
      <c r="K5" t="n">
        <v>26.91</v>
      </c>
      <c r="L5" t="n">
        <v>2.46228</v>
      </c>
    </row>
    <row r="6">
      <c r="A6" s="3" t="inlineStr">
        <is>
          <t>Residual Income</t>
        </is>
      </c>
      <c r="B6" s="2" t="inlineStr">
        <is>
          <t>valuation_specialist</t>
        </is>
      </c>
      <c r="C6" s="3" t="n">
        <v>68</v>
      </c>
      <c r="D6" s="9" t="n">
        <v>68</v>
      </c>
      <c r="E6" s="3" t="n">
        <v>68</v>
      </c>
      <c r="F6" s="10" t="n">
        <v>-66.90000000000001</v>
      </c>
      <c r="G6" s="2" t="inlineStr">
        <is>
          <t>residual_income</t>
        </is>
      </c>
      <c r="H6" s="7" t="inlineStr"/>
      <c r="J6" t="inlineStr">
        <is>
          <t>Residual Income  $68</t>
        </is>
      </c>
      <c r="K6" t="n">
        <v>68</v>
      </c>
      <c r="L6" t="n">
        <v>2.46228</v>
      </c>
    </row>
    <row r="7">
      <c r="A7" s="3" t="inlineStr">
        <is>
          <t>FCFF DCF (Damodaran)</t>
        </is>
      </c>
      <c r="B7" s="2" t="inlineStr">
        <is>
          <t>aswath_damodaran</t>
        </is>
      </c>
      <c r="C7" s="3" t="n">
        <v>65.15000000000001</v>
      </c>
      <c r="D7" s="9" t="n">
        <v>131.89</v>
      </c>
      <c r="E7" s="3" t="n">
        <v>242.83</v>
      </c>
      <c r="F7" s="10" t="n">
        <v>-35.7</v>
      </c>
      <c r="G7" s="2" t="inlineStr">
        <is>
          <t>dcf</t>
        </is>
      </c>
      <c r="H7" s="7" t="inlineStr">
        <is>
          <t>One analyst's rigorous DCF. The headline target is the panel consensus, not this bar.</t>
        </is>
      </c>
      <c r="J7" t="inlineStr">
        <is>
          <t>FCFF DCF (Damodaran)  $65-243</t>
        </is>
      </c>
      <c r="K7" t="n">
        <v>65.15000000000001</v>
      </c>
      <c r="L7" t="n">
        <v>177.68</v>
      </c>
    </row>
    <row r="8">
      <c r="A8" s="3" t="inlineStr">
        <is>
          <t>Michael Burry - downside target</t>
        </is>
      </c>
      <c r="B8" s="2" t="inlineStr">
        <is>
          <t>michael_burry</t>
        </is>
      </c>
      <c r="C8" s="3" t="n">
        <v>135</v>
      </c>
      <c r="D8" s="9" t="n">
        <v>135</v>
      </c>
      <c r="E8" s="3" t="n">
        <v>135</v>
      </c>
      <c r="F8" s="10" t="n">
        <v>-34.2</v>
      </c>
      <c r="G8" s="2" t="inlineStr">
        <is>
          <t>persona</t>
        </is>
      </c>
      <c r="H8" s="7" t="inlineStr"/>
      <c r="J8" t="inlineStr">
        <is>
          <t>Michael Burry - downside tar  $135</t>
        </is>
      </c>
      <c r="K8" t="n">
        <v>135</v>
      </c>
      <c r="L8" t="n">
        <v>2.46228</v>
      </c>
    </row>
    <row r="9">
      <c r="A9" s="3" t="inlineStr">
        <is>
          <t>Warren Buffett - estimated intrinsic value</t>
        </is>
      </c>
      <c r="B9" s="2" t="inlineStr">
        <is>
          <t>warren_buffett</t>
        </is>
      </c>
      <c r="C9" s="3" t="n">
        <v>190</v>
      </c>
      <c r="D9" s="9" t="n">
        <v>190</v>
      </c>
      <c r="E9" s="3" t="n">
        <v>190</v>
      </c>
      <c r="F9" s="10" t="n">
        <v>-7.4</v>
      </c>
      <c r="G9" s="2" t="inlineStr">
        <is>
          <t>persona</t>
        </is>
      </c>
      <c r="H9" s="7" t="inlineStr"/>
      <c r="J9" t="inlineStr">
        <is>
          <t>Warren Buffett - estimated i  $190</t>
        </is>
      </c>
      <c r="K9" t="n">
        <v>190</v>
      </c>
      <c r="L9" t="n">
        <v>2.46228</v>
      </c>
    </row>
    <row r="10">
      <c r="A10" s="3" t="inlineStr">
        <is>
          <t>Rakesh Jhunjhunwala - estimated intrinsic value</t>
        </is>
      </c>
      <c r="B10" s="2" t="inlineStr">
        <is>
          <t>rakesh_jhunjhunwala</t>
        </is>
      </c>
      <c r="C10" s="3" t="n">
        <v>195</v>
      </c>
      <c r="D10" s="9" t="n">
        <v>195</v>
      </c>
      <c r="E10" s="3" t="n">
        <v>195</v>
      </c>
      <c r="F10" s="10" t="n">
        <v>-5</v>
      </c>
      <c r="G10" s="2" t="inlineStr">
        <is>
          <t>persona</t>
        </is>
      </c>
      <c r="H10" s="7" t="inlineStr"/>
      <c r="J10" t="inlineStr">
        <is>
          <t>Rakesh Jhunjhunwala - estima  $195</t>
        </is>
      </c>
      <c r="K10" t="n">
        <v>195</v>
      </c>
      <c r="L10" t="n">
        <v>2.46228</v>
      </c>
    </row>
    <row r="11">
      <c r="A11" s="3" t="inlineStr">
        <is>
          <t>Owner Earnings</t>
        </is>
      </c>
      <c r="B11" s="2" t="inlineStr">
        <is>
          <t>valuation_specialist</t>
        </is>
      </c>
      <c r="C11" s="3" t="n">
        <v>204</v>
      </c>
      <c r="D11" s="9" t="n">
        <v>204</v>
      </c>
      <c r="E11" s="3" t="n">
        <v>204</v>
      </c>
      <c r="F11" s="10" t="n">
        <v>-0.6</v>
      </c>
      <c r="G11" s="2" t="inlineStr">
        <is>
          <t>owner_earnings</t>
        </is>
      </c>
      <c r="H11" s="7" t="inlineStr"/>
      <c r="J11" t="inlineStr">
        <is>
          <t>Owner Earnings  $204</t>
        </is>
      </c>
      <c r="K11" t="n">
        <v>204</v>
      </c>
      <c r="L11" t="n">
        <v>2.46228</v>
      </c>
    </row>
    <row r="12">
      <c r="A12" s="3" t="inlineStr">
        <is>
          <t>Bill Ackman - estimated intrinsic value</t>
        </is>
      </c>
      <c r="B12" s="2" t="inlineStr">
        <is>
          <t>bill_ackman</t>
        </is>
      </c>
      <c r="C12" s="3" t="n">
        <v>215</v>
      </c>
      <c r="D12" s="9" t="n">
        <v>215</v>
      </c>
      <c r="E12" s="3" t="n">
        <v>215</v>
      </c>
      <c r="F12" s="11" t="n">
        <v>4.8</v>
      </c>
      <c r="G12" s="2" t="inlineStr">
        <is>
          <t>persona</t>
        </is>
      </c>
      <c r="H12" s="7" t="inlineStr"/>
      <c r="J12" t="inlineStr">
        <is>
          <t>Bill Ackman - estimated intr  $215</t>
        </is>
      </c>
      <c r="K12" t="n">
        <v>215</v>
      </c>
      <c r="L12" t="n">
        <v>2.46228</v>
      </c>
    </row>
    <row r="13">
      <c r="A13" s="3" t="inlineStr">
        <is>
          <t>Peer EV/EBITDA (AI-semi composite)</t>
        </is>
      </c>
      <c r="B13" s="2" t="inlineStr">
        <is>
          <t>relative</t>
        </is>
      </c>
      <c r="C13" s="3" t="n">
        <v>249.85</v>
      </c>
      <c r="D13" s="9" t="n">
        <v>249.85</v>
      </c>
      <c r="E13" s="3" t="n">
        <v>249.85</v>
      </c>
      <c r="F13" s="11" t="n">
        <v>21.8</v>
      </c>
      <c r="G13" s="2" t="inlineStr">
        <is>
          <t>relative</t>
        </is>
      </c>
      <c r="H13" s="7" t="inlineStr"/>
      <c r="J13" t="inlineStr">
        <is>
          <t>Peer EV/EBITDA (AI-semi comp  $250</t>
        </is>
      </c>
      <c r="K13" t="n">
        <v>249.85</v>
      </c>
      <c r="L13" t="n">
        <v>2.46228</v>
      </c>
    </row>
    <row r="14">
      <c r="A14" s="3" t="inlineStr">
        <is>
          <t>EV/EBITDA (trailing)</t>
        </is>
      </c>
      <c r="B14" s="2" t="inlineStr">
        <is>
          <t>valuation_specialist</t>
        </is>
      </c>
      <c r="C14" s="3" t="n">
        <v>250</v>
      </c>
      <c r="D14" s="9" t="n">
        <v>250</v>
      </c>
      <c r="E14" s="3" t="n">
        <v>250</v>
      </c>
      <c r="F14" s="11" t="n">
        <v>21.8</v>
      </c>
      <c r="G14" s="2" t="inlineStr">
        <is>
          <t>ev_ebitda</t>
        </is>
      </c>
      <c r="H14" s="7" t="inlineStr"/>
      <c r="J14" t="inlineStr">
        <is>
          <t>EV/EBITDA (trailing)  $250</t>
        </is>
      </c>
      <c r="K14" t="n">
        <v>250</v>
      </c>
      <c r="L14" t="n">
        <v>2.46228</v>
      </c>
    </row>
    <row r="15">
      <c r="A15" s="12" t="inlineStr">
        <is>
          <t>Current price</t>
        </is>
      </c>
      <c r="D15" s="12" t="n">
        <v>205.19</v>
      </c>
      <c r="J15" t="inlineStr">
        <is>
          <t>&gt;&gt; Current price  $205</t>
        </is>
      </c>
      <c r="K15" t="n">
        <v>203.95886</v>
      </c>
      <c r="L15" t="n">
        <v>2.46228</v>
      </c>
    </row>
    <row r="16">
      <c r="A16" s="13" t="inlineStr">
        <is>
          <t>PM blended target</t>
        </is>
      </c>
      <c r="D16" s="13" t="n">
        <v>191.57</v>
      </c>
      <c r="J16" t="inlineStr">
        <is>
          <t>&gt;&gt; PM blended target  $192</t>
        </is>
      </c>
      <c r="K16" t="n">
        <v>190.33886</v>
      </c>
      <c r="L16" t="n">
        <v>2.46228</v>
      </c>
    </row>
  </sheetData>
  <mergeCells count="1">
    <mergeCell ref="A2:H2"/>
  </mergeCell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J30"/>
  <sheetViews>
    <sheetView workbookViewId="0">
      <selection activeCell="A1" sqref="A1"/>
    </sheetView>
  </sheetViews>
  <sheetFormatPr baseColWidth="8" defaultRowHeight="15"/>
  <cols>
    <col width="10" customWidth="1" min="1" max="1"/>
    <col width="12"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s>
  <sheetData>
    <row r="1">
      <c r="A1" s="6" t="inlineStr">
        <is>
          <t>DCF (FCFF) - Aswath Damodaran's inputs</t>
        </is>
      </c>
    </row>
    <row r="2">
      <c r="A2" s="7" t="inlineStr">
        <is>
          <t>NVDA is fabless, capital-light, and converts AI data-center sales into outsized FCF. A 10-year FCFF DCF captures the visible Blackwell/Rubin runway and a disciplined fade to a GDP-plus terminal. The AHF panel's distinction from GER is the cost of capital: this model uses the REAL beta (2.0, regression 2.20) rather than a softened 1.30, so WACC is 15.3% not 9.5%. Peer EV/EBITDA cross-checks because semis trade on the multiple.</t>
        </is>
      </c>
    </row>
    <row r="4">
      <c r="A4" s="6" t="inlineStr">
        <is>
          <t>WACC</t>
        </is>
      </c>
      <c r="B4" s="6" t="inlineStr">
        <is>
          <t>15.30%</t>
        </is>
      </c>
    </row>
    <row r="5">
      <c r="A5" s="4" t="inlineStr">
        <is>
          <t>components</t>
        </is>
      </c>
      <c r="B5" s="7" t="inlineStr">
        <is>
          <t>rf=0.044, beta=2.0, erp=0.055, debt_weight=0.01, cost_of_debt_after_tax=0.035</t>
        </is>
      </c>
    </row>
    <row r="6">
      <c r="A6" s="4" t="inlineStr">
        <is>
          <t>reasoning</t>
        </is>
      </c>
      <c r="B6" s="7" t="inlineStr">
        <is>
          <t>Ke = rf + beta x ERP = 4.4% + 2.00 x 5.5% = 15.4%. Beta 2.00 honors the REAL regression beta of 2.20 (Damodaran: do not sand it to GER's 1.30; NVDA genuinely moves ~2x the market). Debt weight ~1% immaterial ($11B debt vs $62B cash), after-tax Kd 3.5%. WACC = 0.99 x 15.4% + 0.01 x 3.5% = 15.28%, rounded 15.3%. This honest cost of capital is the entire A/B gap vs GER. Source: aswath_damodaran + valuation specialist.</t>
        </is>
      </c>
    </row>
    <row r="7"/>
    <row r="8"/>
    <row r="10">
      <c r="A10" s="6" t="inlineStr">
        <is>
          <t>Terminal growth</t>
        </is>
      </c>
      <c r="B10" s="6" t="inlineStr">
        <is>
          <t>4.00%</t>
        </is>
      </c>
    </row>
    <row r="11">
      <c r="A11" s="4" t="inlineStr">
        <is>
          <t>reasoning</t>
        </is>
      </c>
      <c r="B11" s="7" t="inlineStr">
        <is>
          <t>Capped at the 10Y risk-free rate (4.4%, set at 4.0%). Damodaran is strict: no firm outgrows the economy forever. AI compute is a steady GDP-plus infrastructure slice by FY36. Source: aswath_damodaran.</t>
        </is>
      </c>
    </row>
    <row r="12"/>
    <row r="14">
      <c r="A14" s="8" t="inlineStr">
        <is>
          <t>Year</t>
        </is>
      </c>
      <c r="B14" s="8" t="inlineStr">
        <is>
          <t>Revenue</t>
        </is>
      </c>
      <c r="C14" s="8" t="inlineStr">
        <is>
          <t>Growth</t>
        </is>
      </c>
      <c r="D14" s="8" t="inlineStr">
        <is>
          <t>EBIT mgn</t>
        </is>
      </c>
      <c r="E14" s="8" t="inlineStr">
        <is>
          <t>EBIT</t>
        </is>
      </c>
      <c r="F14" s="8" t="inlineStr">
        <is>
          <t>NOPAT</t>
        </is>
      </c>
      <c r="G14" s="8" t="inlineStr">
        <is>
          <t>D&amp;A</t>
        </is>
      </c>
      <c r="H14" s="8" t="inlineStr">
        <is>
          <t>Capex</t>
        </is>
      </c>
      <c r="I14" s="8" t="inlineStr">
        <is>
          <t>dNWC</t>
        </is>
      </c>
      <c r="J14" s="8" t="inlineStr">
        <is>
          <t>FCFF</t>
        </is>
      </c>
    </row>
    <row r="15">
      <c r="A15" s="3" t="n">
        <v>2027</v>
      </c>
      <c r="B15" s="3" t="n">
        <v>390.8</v>
      </c>
      <c r="C15" t="inlineStr">
        <is>
          <t>60%</t>
        </is>
      </c>
      <c r="D15" t="inlineStr">
        <is>
          <t>60%</t>
        </is>
      </c>
      <c r="E15" s="3" t="n">
        <v>234.48</v>
      </c>
      <c r="F15" s="3" t="n">
        <v>196.963</v>
      </c>
      <c r="G15" s="3" t="n">
        <v>11.724</v>
      </c>
      <c r="H15" s="3" t="n">
        <v>11.724</v>
      </c>
      <c r="I15" s="3" t="n">
        <v>4.69</v>
      </c>
      <c r="J15" s="14" t="n">
        <v>192.3</v>
      </c>
    </row>
    <row r="16">
      <c r="A16" s="3" t="n">
        <v>2028</v>
      </c>
      <c r="B16" s="3" t="n">
        <v>551</v>
      </c>
      <c r="C16" t="inlineStr">
        <is>
          <t>58%</t>
        </is>
      </c>
      <c r="D16" t="inlineStr">
        <is>
          <t>58%</t>
        </is>
      </c>
      <c r="E16" s="3" t="n">
        <v>322.335</v>
      </c>
      <c r="F16" s="3" t="n">
        <v>270.761</v>
      </c>
      <c r="G16" s="3" t="n">
        <v>16.53</v>
      </c>
      <c r="H16" s="3" t="n">
        <v>16.53</v>
      </c>
      <c r="I16" s="3" t="n">
        <v>6.612</v>
      </c>
      <c r="J16" s="14" t="n">
        <v>264.1</v>
      </c>
    </row>
    <row r="17">
      <c r="A17" s="3" t="n">
        <v>2029</v>
      </c>
      <c r="B17" s="3" t="n">
        <v>716.3</v>
      </c>
      <c r="C17" t="inlineStr">
        <is>
          <t>57%</t>
        </is>
      </c>
      <c r="D17" t="inlineStr">
        <is>
          <t>57%</t>
        </is>
      </c>
      <c r="E17" s="3" t="n">
        <v>408.291</v>
      </c>
      <c r="F17" s="3" t="n">
        <v>342.964</v>
      </c>
      <c r="G17" s="3" t="n">
        <v>21.489</v>
      </c>
      <c r="H17" s="3" t="n">
        <v>21.489</v>
      </c>
      <c r="I17" s="3" t="n">
        <v>8.596</v>
      </c>
      <c r="J17" s="14" t="n">
        <v>334.4</v>
      </c>
    </row>
    <row r="18">
      <c r="A18" s="3" t="n">
        <v>2030</v>
      </c>
      <c r="B18" s="3" t="n">
        <v>873.9</v>
      </c>
      <c r="C18" t="inlineStr">
        <is>
          <t>56%</t>
        </is>
      </c>
      <c r="D18" t="inlineStr">
        <is>
          <t>56%</t>
        </is>
      </c>
      <c r="E18" s="3" t="n">
        <v>485.015</v>
      </c>
      <c r="F18" s="3" t="n">
        <v>407.412</v>
      </c>
      <c r="G18" s="3" t="n">
        <v>26.217</v>
      </c>
      <c r="H18" s="3" t="n">
        <v>26.217</v>
      </c>
      <c r="I18" s="3" t="n">
        <v>10.487</v>
      </c>
      <c r="J18" s="14" t="n">
        <v>396.9</v>
      </c>
    </row>
    <row r="19">
      <c r="A19" s="3" t="n">
        <v>2031</v>
      </c>
      <c r="B19" s="3" t="n">
        <v>1013.7</v>
      </c>
      <c r="C19" t="inlineStr">
        <is>
          <t>54%</t>
        </is>
      </c>
      <c r="D19" t="inlineStr">
        <is>
          <t>54%</t>
        </is>
      </c>
      <c r="E19" s="3" t="n">
        <v>547.398</v>
      </c>
      <c r="F19" s="3" t="n">
        <v>459.814</v>
      </c>
      <c r="G19" s="3" t="n">
        <v>30.411</v>
      </c>
      <c r="H19" s="3" t="n">
        <v>30.411</v>
      </c>
      <c r="I19" s="3" t="n">
        <v>12.164</v>
      </c>
      <c r="J19" s="14" t="n">
        <v>447.7</v>
      </c>
    </row>
    <row r="20">
      <c r="A20" s="3" t="n">
        <v>2032</v>
      </c>
      <c r="B20" s="3" t="n">
        <v>1130.3</v>
      </c>
      <c r="C20" t="inlineStr">
        <is>
          <t>52%</t>
        </is>
      </c>
      <c r="D20" t="inlineStr">
        <is>
          <t>52%</t>
        </is>
      </c>
      <c r="E20" s="3" t="n">
        <v>593.408</v>
      </c>
      <c r="F20" s="3" t="n">
        <v>498.462</v>
      </c>
      <c r="G20" s="3" t="n">
        <v>33.909</v>
      </c>
      <c r="H20" s="3" t="n">
        <v>33.909</v>
      </c>
      <c r="I20" s="3" t="n">
        <v>13.564</v>
      </c>
      <c r="J20" s="14" t="n">
        <v>484.9</v>
      </c>
    </row>
    <row r="21">
      <c r="A21" s="3" t="n">
        <v>2033</v>
      </c>
      <c r="B21" s="3" t="n">
        <v>1226.4</v>
      </c>
      <c r="C21" t="inlineStr">
        <is>
          <t>52%</t>
        </is>
      </c>
      <c r="D21" t="inlineStr">
        <is>
          <t>52%</t>
        </is>
      </c>
      <c r="E21" s="3" t="n">
        <v>631.596</v>
      </c>
      <c r="F21" s="3" t="n">
        <v>530.5410000000001</v>
      </c>
      <c r="G21" s="3" t="n">
        <v>36.792</v>
      </c>
      <c r="H21" s="3" t="n">
        <v>36.792</v>
      </c>
      <c r="I21" s="3" t="n">
        <v>14.717</v>
      </c>
      <c r="J21" s="14" t="n">
        <v>515.8</v>
      </c>
    </row>
    <row r="22">
      <c r="A22" s="3" t="n">
        <v>2034</v>
      </c>
      <c r="B22" s="3" t="n">
        <v>1306.1</v>
      </c>
      <c r="C22" t="inlineStr">
        <is>
          <t>50%</t>
        </is>
      </c>
      <c r="D22" t="inlineStr">
        <is>
          <t>50%</t>
        </is>
      </c>
      <c r="E22" s="3" t="n">
        <v>659.58</v>
      </c>
      <c r="F22" s="3" t="n">
        <v>554.048</v>
      </c>
      <c r="G22" s="3" t="n">
        <v>39.183</v>
      </c>
      <c r="H22" s="3" t="n">
        <v>39.183</v>
      </c>
      <c r="I22" s="3" t="n">
        <v>15.673</v>
      </c>
      <c r="J22" s="14" t="n">
        <v>538.4</v>
      </c>
    </row>
    <row r="23">
      <c r="A23" s="3" t="n">
        <v>2035</v>
      </c>
      <c r="B23" s="3" t="n">
        <v>1371.4</v>
      </c>
      <c r="C23" t="inlineStr">
        <is>
          <t>50%</t>
        </is>
      </c>
      <c r="D23" t="inlineStr">
        <is>
          <t>50%</t>
        </is>
      </c>
      <c r="E23" s="3" t="n">
        <v>678.843</v>
      </c>
      <c r="F23" s="3" t="n">
        <v>570.228</v>
      </c>
      <c r="G23" s="3" t="n">
        <v>41.142</v>
      </c>
      <c r="H23" s="3" t="n">
        <v>41.142</v>
      </c>
      <c r="I23" s="3" t="n">
        <v>16.457</v>
      </c>
      <c r="J23" s="14" t="n">
        <v>553.8</v>
      </c>
    </row>
    <row r="24">
      <c r="A24" s="3" t="n">
        <v>2036</v>
      </c>
      <c r="B24" s="3" t="n">
        <v>1433.1</v>
      </c>
      <c r="C24" t="inlineStr">
        <is>
          <t>48%</t>
        </is>
      </c>
      <c r="D24" t="inlineStr">
        <is>
          <t>48%</t>
        </is>
      </c>
      <c r="E24" s="3" t="n">
        <v>695.053</v>
      </c>
      <c r="F24" s="3" t="n">
        <v>583.845</v>
      </c>
      <c r="G24" s="3" t="n">
        <v>42.993</v>
      </c>
      <c r="H24" s="3" t="n">
        <v>42.993</v>
      </c>
      <c r="I24" s="3" t="n">
        <v>17.197</v>
      </c>
      <c r="J24" s="14" t="n">
        <v>566.6</v>
      </c>
    </row>
    <row r="26">
      <c r="A26" s="4" t="inlineStr">
        <is>
          <t>PV explicit FCF</t>
        </is>
      </c>
      <c r="B26" s="3" t="n">
        <v>1887.276</v>
      </c>
    </row>
    <row r="27">
      <c r="A27" s="4" t="inlineStr">
        <is>
          <t>PV terminal value</t>
        </is>
      </c>
      <c r="B27" s="3" t="n">
        <v>1255.852</v>
      </c>
    </row>
    <row r="28">
      <c r="A28" s="4" t="inlineStr">
        <is>
          <t>Implied EV</t>
        </is>
      </c>
      <c r="B28" s="3" t="n">
        <v>3143.128</v>
      </c>
    </row>
    <row r="29">
      <c r="A29" s="4" t="inlineStr">
        <is>
          <t>Less net debt</t>
        </is>
      </c>
      <c r="B29" s="3" t="n">
        <v>-51.5</v>
      </c>
    </row>
    <row r="30">
      <c r="A30" s="6" t="inlineStr">
        <is>
          <t>Implied price / share</t>
        </is>
      </c>
      <c r="B30" s="6" t="inlineStr">
        <is>
          <t>$132</t>
        </is>
      </c>
    </row>
  </sheetData>
  <mergeCells count="4">
    <mergeCell ref="B5:H5"/>
    <mergeCell ref="A2:H2"/>
    <mergeCell ref="B6:H8"/>
    <mergeCell ref="B11:H1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cols>
    <col width="26" customWidth="1" min="1" max="1"/>
    <col width="80" customWidth="1" min="2" max="2"/>
  </cols>
  <sheetData>
    <row r="1">
      <c r="A1" s="6" t="inlineStr">
        <is>
          <t>Owner Earnings</t>
        </is>
      </c>
    </row>
    <row r="2">
      <c r="A2" s="2" t="inlineStr">
        <is>
          <t>Source: valuation specialist</t>
        </is>
      </c>
    </row>
    <row r="4">
      <c r="A4" s="6" t="inlineStr">
        <is>
          <t>Implied price / share</t>
        </is>
      </c>
      <c r="B4" s="6" t="inlineStr">
        <is>
          <t>$204</t>
        </is>
      </c>
    </row>
    <row r="6">
      <c r="A6" s="4" t="inlineStr">
        <is>
          <t>Gap vs price</t>
        </is>
      </c>
      <c r="B6" s="5" t="inlineStr">
        <is>
          <t>-0.5%</t>
        </is>
      </c>
    </row>
    <row r="7">
      <c r="A7" s="4" t="inlineStr">
        <is>
          <t>Detail</t>
        </is>
      </c>
      <c r="B7" s="5" t="inlineStr">
        <is>
          <t>Owner earnings ~$128.2B (NI $120.1B + D&amp;A $14.2B - capex $6.0B). Buffett-style 10% discount, 5y decaying growth (40% to 10%), terminal 4%. The 10% rate (vs the 15.4% real WACC) is what lifts this method to ~$204.</t>
        </is>
      </c>
    </row>
  </sheetData>
  <mergeCells count="2">
    <mergeCell ref="B6:H6"/>
    <mergeCell ref="B7:H7"/>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cols>
    <col width="26" customWidth="1" min="1" max="1"/>
    <col width="80" customWidth="1" min="2" max="2"/>
  </cols>
  <sheetData>
    <row r="1">
      <c r="A1" s="6" t="inlineStr">
        <is>
          <t>EV / EBITDA (relative)</t>
        </is>
      </c>
    </row>
    <row r="2">
      <c r="A2" s="2" t="inlineStr">
        <is>
          <t>Source: valuation specialist</t>
        </is>
      </c>
    </row>
    <row r="4">
      <c r="A4" s="6" t="inlineStr">
        <is>
          <t>Implied price / share</t>
        </is>
      </c>
      <c r="B4" s="6" t="inlineStr">
        <is>
          <t>$250</t>
        </is>
      </c>
    </row>
    <row r="6">
      <c r="A6" s="4" t="inlineStr">
        <is>
          <t>Historical median x</t>
        </is>
      </c>
      <c r="B6" s="5" t="n">
        <v>33</v>
      </c>
    </row>
    <row r="7">
      <c r="A7" s="4" t="inlineStr">
        <is>
          <t>Peer median x</t>
        </is>
      </c>
      <c r="B7" s="5" t="n">
        <v>30</v>
      </c>
    </row>
    <row r="8">
      <c r="A8" s="4" t="inlineStr">
        <is>
          <t>Gap vs price</t>
        </is>
      </c>
      <c r="B8" s="5" t="inlineStr">
        <is>
          <t>21.8%</t>
        </is>
      </c>
    </row>
  </sheetData>
  <mergeCells count="3">
    <mergeCell ref="B6:H6"/>
    <mergeCell ref="B8:H8"/>
    <mergeCell ref="B7:H7"/>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cols>
    <col width="26" customWidth="1" min="1" max="1"/>
    <col width="80" customWidth="1" min="2" max="2"/>
  </cols>
  <sheetData>
    <row r="1">
      <c r="A1" s="6" t="inlineStr">
        <is>
          <t>Residual Income</t>
        </is>
      </c>
    </row>
    <row r="2">
      <c r="A2" s="2" t="inlineStr">
        <is>
          <t>Source: valuation specialist</t>
        </is>
      </c>
    </row>
    <row r="4">
      <c r="A4" s="6" t="inlineStr">
        <is>
          <t>Implied price / share</t>
        </is>
      </c>
      <c r="B4" s="6" t="inlineStr">
        <is>
          <t>$68.00</t>
        </is>
      </c>
    </row>
    <row r="6">
      <c r="A6" s="4" t="inlineStr">
        <is>
          <t>Book value / share</t>
        </is>
      </c>
      <c r="B6" s="5" t="n">
        <v>6.49</v>
      </c>
    </row>
    <row r="7">
      <c r="A7" s="4" t="inlineStr">
        <is>
          <t>Cost of equity</t>
        </is>
      </c>
      <c r="B7" s="5" t="inlineStr">
        <is>
          <t>15.4%</t>
        </is>
      </c>
    </row>
    <row r="8">
      <c r="A8" s="4" t="inlineStr">
        <is>
          <t>Gap vs price</t>
        </is>
      </c>
      <c r="B8" s="5" t="inlineStr">
        <is>
          <t>-66.9%</t>
        </is>
      </c>
    </row>
  </sheetData>
  <mergeCells count="3">
    <mergeCell ref="B6:H6"/>
    <mergeCell ref="B8:H8"/>
    <mergeCell ref="B7:H7"/>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22" customWidth="1" min="1" max="1"/>
    <col width="12" customWidth="1" min="2" max="2"/>
    <col width="10" customWidth="1" min="3" max="3"/>
    <col width="7" customWidth="1" min="4" max="4"/>
    <col width="99" customWidth="1" min="5" max="5"/>
  </cols>
  <sheetData>
    <row r="1">
      <c r="A1" s="6" t="inlineStr">
        <is>
          <t>The panel - 13 personas + 6 specialists</t>
        </is>
      </c>
    </row>
    <row r="2">
      <c r="A2" s="2" t="inlineStr">
        <is>
          <t>Weighted vote  -&gt;   |  4 bull / 6 neutral / 3 bear</t>
        </is>
      </c>
    </row>
    <row r="4">
      <c r="A4" s="8" t="inlineStr">
        <is>
          <t>Persona</t>
        </is>
      </c>
      <c r="B4" s="8" t="inlineStr">
        <is>
          <t>Lens</t>
        </is>
      </c>
      <c r="C4" s="8" t="inlineStr">
        <is>
          <t>Signal</t>
        </is>
      </c>
      <c r="D4" s="8" t="inlineStr">
        <is>
          <t>Conf</t>
        </is>
      </c>
      <c r="E4" s="8" t="inlineStr">
        <is>
          <t>Reasoning</t>
        </is>
      </c>
    </row>
    <row r="5">
      <c r="A5" s="3" t="inlineStr">
        <is>
          <t>Warren Buffett</t>
        </is>
      </c>
      <c r="B5" s="2" t="inlineStr">
        <is>
          <t>bull</t>
        </is>
      </c>
      <c r="C5" s="12" t="inlineStr">
        <is>
          <t>neutral</t>
        </is>
      </c>
      <c r="D5" s="3" t="n">
        <v>55</v>
      </c>
      <c r="E5" s="7" t="inlineStr">
        <is>
          <t>Let me start with what I admire, because there's plenty. This is a business earning a return on invested capital around 67% and a return on equity north of 75%, carrying almost no debt against $51B of net cash. Owner earnings ran near $128B last year. Gross margins sit in the low-70s, operating margins above 60%. By the raw numbers it's one of the most profitable enterprises I've ever looked at, and the moat in accelerated computing, the CUDA software lock-in plus the networking attach, is real and probably widening for now. So this is a wonderful business. No argument.
The trouble is the price and my own circle of competence. I've said for decades that I don't know which chip company wins ten years out, and accelerated computing is the fastest-moving corner of an already fast-moving industry. The thing that makes NVDA worth $5 trillion today is the assumption that hyperscaler capex keeps compounding and that nobody, not AMD, not the customers' own silicon, takes the crown. I can't underwrite that with the confidence I'd want. When I buy, I want to be roughly right about the next decade. Here I'd be guessing.
And the margin of safety isn't there. On trailing free cash flow the yield is under 1%. You have to believe the forward ramp, FCF doubling and then doubling again, to make today's price reasonable, and that's paying up for a future I can't bank on. A great company at a fair price beats a fair company at a great price; this is a great company at a price that already assumes the future works out. I'll watch it with admiration and sit on my hands. Neutral, and that's mostly humility about the price and my own circle, not a knock on the business.</t>
        </is>
      </c>
    </row>
    <row r="6">
      <c r="A6" s="3" t="inlineStr">
        <is>
          <t>Charlie Munger</t>
        </is>
      </c>
      <c r="B6" s="2" t="inlineStr">
        <is>
          <t>bull</t>
        </is>
      </c>
      <c r="C6" s="12" t="inlineStr">
        <is>
          <t>neutral</t>
        </is>
      </c>
      <c r="D6" s="3" t="n">
        <v>58</v>
      </c>
      <c r="E6" s="7" t="inlineStr">
        <is>
          <t>Wonderful business, lollapalooza of moats. But invert: customer-funded rival silicon plus a priced-in future leaves no margin of safety. Great company, demanding price. Wait.</t>
        </is>
      </c>
    </row>
    <row r="7">
      <c r="A7" s="3" t="inlineStr">
        <is>
          <t>Peter Lynch</t>
        </is>
      </c>
      <c r="B7" s="2" t="inlineStr">
        <is>
          <t>bull</t>
        </is>
      </c>
      <c r="C7" s="13" t="inlineStr">
        <is>
          <t>bullish</t>
        </is>
      </c>
      <c r="D7" s="3" t="n">
        <v>72</v>
      </c>
      <c r="E7" s="7" t="inlineStr">
        <is>
          <t>Here's a company everybody already knows. You can't read a newspaper or sit through a dinner without somebody mentioning NVIDIA, and that usually makes me nervous, because the crowded names are where you overpay. So I went straight to the PEG, which is the number I trust most. Forward P/E is about 16. Forward earnings growth on the Street is roughly 88% this fiscal year and around 42% the next, call it a blended 65% near term. That puts the PEG somewhere between 0.2 and 0.3. I have to rub my eyes at that. A PEG under 1.0 is attractive; under 0.3 on a company growing earnings this fast is the kind of thing that doesn't show up often, and it usually means the market is bracing for the growth to fall off a cliff.
That's the catch, and I won't pretend it away. The reason the forward P/E is only 16 against a trailing 31 is that earnings are expected to balloon, so the 'E' does the heavy lifting. If the AI buildout slows, those forward estimates come down and the cheap PEG was a mirage. This is a fast grower, and fast growers are where you find your ten-baggers and also where you find your heartbreaks.
But look at the actual business. Revenue went from $27B to $216B in three years. Earnings compounded over 200% a year off that base. Debt is basically nothing, $11B against $62B of cash and short-term investments, so there's no balance-sheet landmine. Debt/equity is 0.07, miles below my 1.5 red flag. The story is simple enough for a sixth grader: they make the shovels everyone needs to dig for AI gold, and they've got the best shovels. Ten-bagger from here? Probably not at a $5 trillion cap, the law of large numbers bites. But a stock growing earnings 40%+ trading at a PEG of 0.25 is too cheap on its own math to ignore. Bullish, eyes open on the growth assumption.</t>
        </is>
      </c>
    </row>
    <row r="8">
      <c r="A8" s="3" t="inlineStr">
        <is>
          <t>Phil Fisher</t>
        </is>
      </c>
      <c r="B8" s="2" t="inlineStr">
        <is>
          <t>bull</t>
        </is>
      </c>
      <c r="C8" s="13" t="inlineStr">
        <is>
          <t>bullish</t>
        </is>
      </c>
      <c r="D8" s="3" t="n">
        <v>80</v>
      </c>
      <c r="E8" s="7" t="inlineStr">
        <is>
          <t>I look for the rare company that combines a long runway with management that keeps widening the lead, and I'm willing to pay a full price for it. NVIDIA qualifies on the growth axis emphatically. Revenue compounded from $27B in fiscal 2023 to $216B in fiscal 2026, a three-year rate near 100% a year. That isn't a single product spike; it's the data-center platform broadening from GPUs into networking (Spectrum-X, NVLink) and a growing software and systems layer. The breadth matters to me. When growth comes from several reinforcing places rather than one SKU, it tends to persist.
Margins tell the same story. Operating margin has run in a band from roughly 54% to 62% over the last three years and sits above 60% today, with gross margin in the low-70s. That is exceptional consistency for hardware, and it reflects pricing power and a software moat, not just a cyclical up-leg. On R&amp;D, the signature Fisher test: NVIDIA spent about $18.5B last year, roughly 8.6% of revenue. The percentage looks lower than a classic software name only because revenue exploded; the absolute dollars nearly doubled year on year, and the cadence (Hopper to Blackwell to Rubin to Feynman, a new architecture roughly annually) is the most aggressive product pipeline in semiconductors. That is a company plowing earnings back into the next decade, exactly what I want to see.
Management is the other pillar. Jensen Huang founded the company in 1993 and is still running it, a multi-decade owner-operator with a record of betting early on CUDA and accelerated computing when the market doubted both. Capital allocation has been sensible: buybacks funded from real cash, a balance sheet with $51B net cash, no leverage games. The competitive advantages, the CUDA developer base, the systems integration, the supply commitments (the $2B each into Coherent and Lumentum to lock photonics), should sustain growth over a three-to-five-year horizon. Valuation is full at roughly 23x EV/sales, but I pay up for exceptional companies, and on forward earnings the multiple is far more reasonable. Bullish.</t>
        </is>
      </c>
    </row>
    <row r="9">
      <c r="A9" s="3" t="inlineStr">
        <is>
          <t>Cathie Wood</t>
        </is>
      </c>
      <c r="B9" s="2" t="inlineStr">
        <is>
          <t>bull</t>
        </is>
      </c>
      <c r="C9" s="13" t="inlineStr">
        <is>
          <t>bullish</t>
        </is>
      </c>
      <c r="D9" s="3" t="n">
        <v>82</v>
      </c>
      <c r="E9" s="7" t="inlineStr">
        <is>
          <t>NVIDIA is the purest expression of the single biggest technology platform shift of our lifetimes: the move from general-purpose computing to accelerated, AI-native computing. The disruptive thesis is straightforward. Every layer of the economy, software, drug discovery, robotics, autonomous mobility, is being rebuilt on neural networks, and those networks run on NVIDIA's compute fabric. This isn't a chip company in the old sense. It's the infrastructure provider for machine intelligence, and we think the addressable opportunity reaches multiple trillions of dollars as AI factories get built out across every enterprise and sovereign over the next five years.
The growth signature confirms it. Revenue went from $61B to $130B to $216B in successive years, and the Street models roughly $390B this fiscal year and over $550B the next. That's still acceleration in absolute dollars at enormous scale, which almost never happens. Forward EPS estimates of nearly $9 this year stepping toward $13 next year tell you earnings power is compounding alongside revenue, not behind it. NVIDIA reinvests aggressively, roughly $18B in R&amp;D and an annual architecture cadence (Blackwell, Rubin, Feynman) that competitors can't match.
On our five-year framework we don't value this on a trailing multiple. We look at where revenue and free cash flow can be in 2030 if AI compute becomes a standing utility, and the forward EV/sales near 23x compresses dramatically as the denominator grows. The disruptions that matter most, agentic AI, humanoid robotics (the LG partnership announced this month is an early signal), physical-world AI, all consume NVIDIA silicon. The bottleneck risks are real, including the indium-phosphide constraint on optical interconnect, but NVIDIA is funding the supply chain directly with $2B stakes in Coherent and Lumentum. We accept the volatility, a 37% drawdown over the past two years is the price of owning the leader through an exponential build. Long-term horizon, conviction-driven: bullish.</t>
        </is>
      </c>
    </row>
    <row r="10">
      <c r="A10" s="3" t="inlineStr">
        <is>
          <t>Bill Ackman</t>
        </is>
      </c>
      <c r="B10" s="2" t="inlineStr">
        <is>
          <t>bull</t>
        </is>
      </c>
      <c r="C10" s="13" t="inlineStr">
        <is>
          <t>bullish</t>
        </is>
      </c>
      <c r="D10" s="3" t="n">
        <v>70</v>
      </c>
      <c r="E10" s="7" t="inlineStr">
        <is>
          <t>NVIDIA is a simple, predictable, free-cash-flow-generative business with one of the widest moats in technology, and I mean that precisely. The moat is the CUDA software ecosystem layered on top of the best accelerated silicon, reinforced by full-system integration and networking. Switching costs for the developer base and the hyperscaler install base are enormous. That's the quality bar I require.
The financials are pristine. Free cash flow was $96.7B last fiscal year, up from $61B the year prior, and the balance sheet carries net cash of $51B against trivial debt, so net debt to EBITDA is meaningfully negative. Operating margins above 60% with gross margins in the low-70s. This is the kind of capital-light, high-return compounder I'd happily concentrate in. Management runs it with discipline: $40B of buybacks last year funded entirely from internal cash, no leverage engineering.
Where I have to be honest is valuation and the absence of an activist angle. On trailing free cash flow the yield is under 1%, which is rich, and EV to FCF is well over 50x trailing. The bull case rests on forward FCF, which the Street has roughly doubling over two years; if that ramp holds, EV/FCF normalizes toward 30x and the stock is reasonable, even cheap for the quality. There's no activism to do here, the company is already exceptionally well run, so I'm underwriting pure quality plus a growth runway rather than a value-unlock. My intrinsic value, on a forward-FCF DCF with a demanding cost of capital, lands roughly in line with the current price, modest margin of safety at best. I'd own it as a quality compounder and add on volatility. Bullish, but sized for the fact that the multiple already pays for several years of execution.</t>
        </is>
      </c>
    </row>
    <row r="11">
      <c r="A11" s="3" t="inlineStr">
        <is>
          <t>Mohnish Pabrai</t>
        </is>
      </c>
      <c r="B11" s="2" t="inlineStr">
        <is>
          <t>bull</t>
        </is>
      </c>
      <c r="C11" s="12" t="inlineStr">
        <is>
          <t>neutral</t>
        </is>
      </c>
      <c r="D11" s="3" t="n">
        <v>55</v>
      </c>
      <c r="E11" s="7" t="inlineStr">
        <is>
          <t>I always start with the downside, because heads I win and tails I don't lose much is the whole game. On NVIDIA the downside is what stops me from pounding the table. The free cash flow yield on trailing cash flow is under 1%, and even on last year's record $96.7B it's under 2% against a $5 trillion market cap. That means I'm paying for years of future growth up front, and if hyperscaler capex disappoints or the customers' own silicon takes meaningful share, the downside isn't 20%, it could be 40% or more as the multiple resets. That fails my tails-test. I need the worst case to cost me 20 to 30%, not half.
Now, the business itself passes most of my checklist easily. I can explain it in two sentences: NVIDIA makes the dominant chips and systems that train and run AI, and developers are locked into its software. It's asset-light, no leverage at all (debt to equity 0.07, net cash $51B), and intrinsic value is genuinely rising fast as earnings compound. If this were trading at a 6 to 8% FCF yield I'd back up the truck, because the quality is undeniable and the moat is real.
The 2x path exists on paper: if forward free cash flow doubles as the Street expects and the multiple merely holds, the stock works. But that requires the growth to show up, and I don't get paid extra for taking that risk at this entry price. This isn't a clone of a classic value setup; it's a great business priced like a great business. My discipline says when downside protection isn't there, the answer is neutral regardless of how good the company is. I'd love to own it cheaper. Neutral.</t>
        </is>
      </c>
    </row>
    <row r="12">
      <c r="A12" s="3" t="inlineStr">
        <is>
          <t>Stanley Druckenmiller</t>
        </is>
      </c>
      <c r="B12" s="2" t="inlineStr">
        <is>
          <t>bull</t>
        </is>
      </c>
      <c r="C12" s="12" t="inlineStr">
        <is>
          <t>neutral</t>
        </is>
      </c>
      <c r="D12" s="3" t="n">
        <v>58</v>
      </c>
      <c r="E12" s="7" t="inlineStr">
        <is>
          <t>I size positions on the asymmetry, and I respect price action because the tape tells you when your thesis is working. On the fundamentals, NVIDIA is exactly the kind of secular leader I want to own: revenue still growing 65% on a $216B base, earnings nearly doubling on Street numbers this year, the best franchise in the most important capex cycle of the decade. The catalyst calendar is loaded, Rubin ramping, sovereign AI orders, the August earnings print. Leverage is a non-issue, net cash. That's the bull side, and it's strong.
But momentum is where I pause, and it matters. The stock is down 9% over the past month, sitting below its 21-day and 50-day averages, RSI in the low 40s, off about 13% from its 52-week high. Over six months it's up only 12% and year-to-date just 9%, while AMD is up 129% and Marvell over 200% year-to-date. When the obvious leader lags the higher-beta names in its own group, it usually means money is rotating into the second-derivative plays and NVIDIA's near-term sentiment has cooled. I don't fight that; I wait for it to turn.
On the asymmetric math: upside to the Street's mean target near $299 is roughly +46%; a realistic downside on a capex scare or a soft guide is the low $140s, where it traded a year ago, call it -30%. That's roughly 1.5 to 1, not the 3 to 1 I want before I swing hard. The setup is a good business with stalled momentum and a merely fair risk-reward at this price. When I have a real edge I bet big; here I don't yet. I'd rather buy strength on a confirmed breakout above the recent range than anticipate one. Neutral, leaning constructive, waiting for the tape.</t>
        </is>
      </c>
    </row>
    <row r="13">
      <c r="A13" s="3" t="inlineStr">
        <is>
          <t>Rakesh Jhunjhunwala</t>
        </is>
      </c>
      <c r="B13" s="2" t="inlineStr">
        <is>
          <t>bull</t>
        </is>
      </c>
      <c r="C13" s="12" t="inlineStr">
        <is>
          <t>neutral</t>
        </is>
      </c>
      <c r="D13" s="3" t="n">
        <v>60</v>
      </c>
      <c r="E13" s="7" t="inlineStr">
        <is>
          <t>I look at a business first and a stock second, and as a business this is one of the finest I have studied. Return on equity has run between 69% and 92% over the last three years, and it sits at 76% today. Debt to equity is 0.07, almost nothing, with cash and investments of $62B dwarfing $11B of debt. Revenue has compounded at extraordinary rates, roughly 100% a year over three years, and earnings have grown even faster. This is reminiscent of the great compounders I backed early in India, companies where the moat, here the software ecosystem and the technology lead in accelerated computing, lets them earn returns most businesses can only dream about. Quality, I have no doubt.
Management passes my test too. The founder still runs it after three decades, the capital allocation is conservative and shareholder-friendly, buybacks funded from real cash rather than borrowing. Within my circle of competence I understand what they sell and why customers keep coming back.
Where I must be disciplined is the margin of safety, and this is non-negotiable for me. I demand at least a 30% discount to intrinsic value before I call something a buy. At a $5 trillion valuation, with the trailing free cash flow yield under 1%, the price already embeds years of flawless execution. My estimate of fair value sits close to where it trades, perhaps a touch below, which means the margin of safety is negative, not the 30% cushion I insist on. A great company bought without a margin of safety can still disappoint the investor even as the business thrives. So I will admire it, keep it on my watch list, and wait for the market to give me a price. This doesn't fit the profile of a buy today only because of valuation, not quality. Neutral.</t>
        </is>
      </c>
    </row>
    <row r="14">
      <c r="A14" s="3" t="inlineStr">
        <is>
          <t>Michael Burry</t>
        </is>
      </c>
      <c r="B14" s="2" t="inlineStr">
        <is>
          <t>bear</t>
        </is>
      </c>
      <c r="C14" s="15" t="inlineStr">
        <is>
          <t>bearish</t>
        </is>
      </c>
      <c r="D14" s="3" t="n">
        <v>62</v>
      </c>
      <c r="E14" s="7" t="inlineStr">
        <is>
          <t>FCF yield 0.9% trailing, 1.9% on peak FY26. EV/EBIT 37.7. EV/sales 22.8. You're paying perpetuity prices for a hardware cycle at its crest. Inventory up 112% YoY to $21.4B; receivables and customer concentration carry the whole story. Revenue grew off a base that didn't exist three years ago, which is exactly when extrapolation gets dangerous. Margins 60%+ invite the customers (MSFT, GOOGL, AMZN, META) to fund their own silicon, and they are. Balance sheet is fine, net cash, debt/equity 0.07, that's not the risk. The risk is the multiple and the cycle. No margin of safety. Downside to mid-$130s on any capex air-pocket. Pass, lean short.</t>
        </is>
      </c>
    </row>
    <row r="15">
      <c r="A15" s="3" t="inlineStr">
        <is>
          <t>Nassim Taleb</t>
        </is>
      </c>
      <c r="B15" s="2" t="inlineStr">
        <is>
          <t>bear</t>
        </is>
      </c>
      <c r="C15" s="12" t="inlineStr">
        <is>
          <t>neutral</t>
        </is>
      </c>
      <c r="D15" s="3" t="n">
        <v>52</v>
      </c>
      <c r="E15" s="7" t="inlineStr">
        <is>
          <t>Net-cash balance sheet is not fragile. But concentrated customer demand + 44% vol + priced-for-perfection multiple = turkey problem. Convexity is the buyers', not yours at this price.</t>
        </is>
      </c>
    </row>
    <row r="16">
      <c r="A16" s="3" t="inlineStr">
        <is>
          <t>Ben Graham</t>
        </is>
      </c>
      <c r="B16" s="2" t="inlineStr">
        <is>
          <t>bear</t>
        </is>
      </c>
      <c r="C16" s="15" t="inlineStr">
        <is>
          <t>bearish</t>
        </is>
      </c>
      <c r="D16" s="3" t="n">
        <v>70</v>
      </c>
      <c r="E16" s="7" t="inlineStr">
        <is>
          <t>I shall apply my criteria without regard to the enthusiasm surrounding this enterprise. The Graham Number, the square root of 22.5 times earnings per share times book value per share, computes to approximately $27 using trailing earnings near $4.96 and book value per share of $6.49. The current price of $205 exceeds that figure by a factor of nearly eight. By my central test of valuation, there is no margin of safety whatsoever; the price embeds expectations of growth that my method explicitly refuses to capitalize. A defensive investor following my principles could not purchase this security at this price.
The net current asset value is similarly unhelpful to the bull. Current assets of $125.6B less total liabilities of $49.5B yields roughly $76B, or about $3.14 per share. The stock trades at sixty-five times its net current asset value. This is the antithesis of the net-net bargains I sought; the buyer here is paying almost entirely for intangible expectation.
On financial strength, I will give credit where due. The current ratio is 3.91, comfortably above my minimum threshold of 2.0, and debt to equity of 0.07 reflects an exceptionally conservative balance sheet with long-term debt far below net current assets. These are the marks of a financially sound company. The earnings record, however, fails my preference for stability: while there have been no losses, the earnings history is one of explosive recent growth from a small base rather than the long, steady record I favor, and such trajectories are precisely the ones most vulnerable to disappointment. The dividend is nominal and recently initiated, offering no record of consistency.
A superb business, I do not dispute it. But my discipline is not pessimism; it is arithmetic. At eight times the Graham Number and sixty-five times NCAV, the price offers speculation, not investment. Bearish on valuation grounds.</t>
        </is>
      </c>
    </row>
    <row r="17">
      <c r="A17" s="3" t="inlineStr">
        <is>
          <t>Aswath Damodaran</t>
        </is>
      </c>
      <c r="B17" s="2" t="inlineStr">
        <is>
          <t>valuation</t>
        </is>
      </c>
      <c r="C17" s="15" t="inlineStr">
        <is>
          <t>bearish</t>
        </is>
      </c>
      <c r="D17" s="3" t="n">
        <v>68</v>
      </c>
      <c r="E17" s="7" t="inlineStr">
        <is>
          <t>The story first. NVIDIA is the arms dealer of the AI build-out: it sells the most capable accelerated-computing silicon and systems, and it has wrapped that hardware in a software ecosystem (CUDA) and a networking stack that lock customers in. Who buys? The hyperscalers, sovereigns, and increasingly every enterprise standing up AI infrastructure. Is it defensible? For now, yes, though the very customers writing the checks are the ones funding alternatives. That tension is the whole valuation question.
Connecting the story to numbers. Revenue was $216B last fiscal year, and the Street sees roughly $391B this year and $552B next, so I anchor the near term to those visible orders, then fade growth from the low-80s percent down to a terminal 4% over a ten-year explicit period. Operating margin starts at the current elite 60% and eases toward a still-extraordinary 48-49% as competition and customer silicon press on price. Tax normalizes to 16%, and because this is a fabless, capital-light business, capex and D&amp;A both run near 3% of revenue, so reinvestment is light and free cash flow conversion is high.
The risk piece is where I part company with the bulls, and it is the crux. Cost of equity is rf plus beta times ERP. The risk-free rate is 4.4%, the equity risk premium 5.5%, and the regression beta is 2.20. I will not sand that down to 1.3 the way a sell-side model might; this stock genuinely moves about twice the market and a fair discount rate has to reflect that. Using a beta of 2.0, cost of equity is 15.4%, and with a trivial debt weight the WACC is about 15.3%. Terminal growth I cap at the risk-free rate, 4%, since no company grows faster than the economy forever.
The math says intrinsic value near $132 per share on the base case, roughly 36% below the $205 price. The bull path (beta 1.65, sustained 50%-plus growth) gets to about $244; the bear (beta 2.2, harder fade) to roughly $65. My cross-check: NVDA trades at about 34x trailing EV/EBITDA and 23x EV/sales, both well above the AI-semi peer median once you exclude the extreme small-caps, so the relative lens does not rescue the intrinsic gap; if anything it confirms a full price. Connecting it all: this is a magnificent business at a cost of capital its own volatility demands, and at that honest discount rate the price already discounts a near-flawless decade. Bearish on value, with full respect for the franchise.</t>
        </is>
      </c>
    </row>
    <row r="20">
      <c r="A20" s="6" t="inlineStr">
        <is>
          <t>Computational specialists</t>
        </is>
      </c>
    </row>
    <row r="21">
      <c r="A21" s="8" t="inlineStr">
        <is>
          <t>Specialist</t>
        </is>
      </c>
      <c r="B21" s="8" t="inlineStr">
        <is>
          <t>Signal</t>
        </is>
      </c>
      <c r="C21" s="8" t="inlineStr">
        <is>
          <t>Conf</t>
        </is>
      </c>
      <c r="D21" s="8" t="inlineStr">
        <is>
          <t>Summary</t>
        </is>
      </c>
    </row>
    <row r="22">
      <c r="A22" s="3" t="inlineStr">
        <is>
          <t>fundamentals</t>
        </is>
      </c>
      <c r="B22" s="3" t="inlineStr">
        <is>
          <t>bullish</t>
        </is>
      </c>
      <c r="C22" s="3" t="n">
        <v>75</v>
      </c>
      <c r="F22" s="7" t="inlineStr">
        <is>
          <t xml:space="preserve">Valuation is the lowest-scoring dimension at 0.00: P/E 31.4 (&gt;25 threshold), P/B 31.6 (&gt;3), P/S 19.6 (&gt;5) all fail on an inverted basis, reflecting a richly priced equity. The other three dimensions score perfectly. Profitability 1.00: ROE 76.3%, net margin 55.6%, operating margin 60.4%, all far above thresholds. Growth 1.00: revenue +85.2% YoY, earnings +88% (TTM), book value +98% YoY ($79.3B to </t>
        </is>
      </c>
    </row>
    <row r="23">
      <c r="A23" s="3" t="inlineStr">
        <is>
          <t>growth</t>
        </is>
      </c>
      <c r="B23" s="3" t="inlineStr">
        <is>
          <t>bullish</t>
        </is>
      </c>
      <c r="C23" s="3" t="n">
        <v>78</v>
      </c>
      <c r="F23" s="7" t="inlineStr"/>
    </row>
    <row r="24">
      <c r="A24" s="3" t="inlineStr">
        <is>
          <t>valuation</t>
        </is>
      </c>
      <c r="B24" s="3" t="inlineStr">
        <is>
          <t>bearish</t>
        </is>
      </c>
      <c r="C24" s="3" t="n">
        <v>55</v>
      </c>
      <c r="F24" s="7" t="inlineStr"/>
    </row>
    <row r="25">
      <c r="A25" s="3" t="inlineStr">
        <is>
          <t>technicals</t>
        </is>
      </c>
      <c r="B25" s="3" t="inlineStr">
        <is>
          <t>neutral</t>
        </is>
      </c>
      <c r="C25" s="3" t="n">
        <v>40</v>
      </c>
      <c r="F25" s="7" t="inlineStr"/>
    </row>
    <row r="26">
      <c r="A26" s="3" t="inlineStr">
        <is>
          <t>sentiment</t>
        </is>
      </c>
      <c r="B26" s="3" t="inlineStr">
        <is>
          <t>neutral</t>
        </is>
      </c>
      <c r="C26" s="3" t="n">
        <v>25</v>
      </c>
      <c r="F26" s="7" t="inlineStr"/>
    </row>
    <row r="27">
      <c r="A27" s="3" t="inlineStr">
        <is>
          <t>news_sentiment</t>
        </is>
      </c>
      <c r="B27" s="3" t="inlineStr">
        <is>
          <t>neutral</t>
        </is>
      </c>
      <c r="C27" s="3" t="n">
        <v>28</v>
      </c>
      <c r="F27" s="7"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26" customWidth="1" min="1" max="1"/>
    <col width="14" customWidth="1" min="2" max="2"/>
    <col width="100" customWidth="1" min="3" max="3"/>
  </cols>
  <sheetData>
    <row r="1">
      <c r="A1" s="6" t="inlineStr">
        <is>
          <t>Assumptions - agent-attributed</t>
        </is>
      </c>
    </row>
    <row r="2">
      <c r="A2" s="2" t="inlineStr">
        <is>
          <t>Every input and the agent whose reasoning set it. This is the A/B vs GER.</t>
        </is>
      </c>
    </row>
    <row r="4">
      <c r="A4" s="8" t="inlineStr">
        <is>
          <t>Input</t>
        </is>
      </c>
      <c r="B4" s="8" t="inlineStr">
        <is>
          <t>Value</t>
        </is>
      </c>
      <c r="C4" s="8" t="inlineStr">
        <is>
          <t>Reasoning (agent-attributed)</t>
        </is>
      </c>
    </row>
    <row r="5">
      <c r="A5" s="4" t="inlineStr">
        <is>
          <t>WACC</t>
        </is>
      </c>
      <c r="B5" s="3" t="inlineStr">
        <is>
          <t>15.30%</t>
        </is>
      </c>
      <c r="C5" s="7" t="inlineStr">
        <is>
          <t>Ke = rf + beta x ERP = 4.4% + 2.00 x 5.5% = 15.4%. Beta 2.00 honors the REAL regression beta of 2.20 (Damodaran: do not sand it to GER's 1.30; NVDA genuinely moves ~2x the market). Debt weight ~1% immaterial ($11B debt vs $62B cash), after-tax Kd 3.5%. WACC = 0.99 x 15.4% + 0.01 x 3.5% = 15.28%, rounded 15.3%. This honest cost of capital is the entire A/B gap vs GER. Source: aswath_damodaran + valuation specialist.</t>
        </is>
      </c>
    </row>
    <row r="6">
      <c r="A6" s="4" t="inlineStr">
        <is>
          <t>Terminal growth</t>
        </is>
      </c>
      <c r="B6" s="3" t="inlineStr">
        <is>
          <t>4.00%</t>
        </is>
      </c>
      <c r="C6" s="7" t="inlineStr">
        <is>
          <t>Capped at the 10Y risk-free rate (4.4%, set at 4.0%). Damodaran is strict: no firm outgrows the economy forever. AI compute is a steady GDP-plus infrastructure slice by FY36. Source: aswath_damodaran.</t>
        </is>
      </c>
    </row>
    <row r="7">
      <c r="A7" s="4" t="inlineStr">
        <is>
          <t>FY2027 FCF</t>
        </is>
      </c>
      <c r="B7" s="3" t="inlineStr">
        <is>
          <t>192.3B</t>
        </is>
      </c>
      <c r="C7" s="7" t="inlineStr">
        <is>
          <t>FY27E (Jan-2027) consensus ~$391B = +81% off FY26 actual $215.9B. Anchored to the visible Blackwell/GB300 order book (Druckenmiller: orders committed; Damodaran: take visible near-term). EBIT margin 60% = current run-rate; fabless model keeps D&amp;A and capex near 3% each.</t>
        </is>
      </c>
    </row>
    <row r="8">
      <c r="A8" s="4" t="inlineStr">
        <is>
          <t>FY2028 FCF</t>
        </is>
      </c>
      <c r="B8" s="3" t="inlineStr">
        <is>
          <t>264.1B</t>
        </is>
      </c>
      <c r="C8" s="7" t="inlineStr">
        <is>
          <t>FY28E ~$551B = +41% (Street +1y avg). Rubin platform full year + sovereign AI material. Margin eases to 58.5% as launch costs and early competition appear (Damodaran target-margin fade).</t>
        </is>
      </c>
    </row>
    <row r="9">
      <c r="A9" s="4" t="inlineStr">
        <is>
          <t>FY2029 FCF</t>
        </is>
      </c>
      <c r="B9" s="3" t="inlineStr">
        <is>
          <t>334.4B</t>
        </is>
      </c>
      <c r="C9" s="7" t="inlineStr">
        <is>
          <t>+30%: fade begins past $700B revenue (law of large numbers). Refresh cycle + enterprise inference offset hyperscaler optimization. Custom silicon takes some inference share (Burry, Damodaran).</t>
        </is>
      </c>
    </row>
    <row r="10">
      <c r="A10" s="4" t="inlineStr">
        <is>
          <t>FY2030 FCF</t>
        </is>
      </c>
      <c r="B10" s="3" t="inlineStr">
        <is>
          <t>396.9B</t>
        </is>
      </c>
      <c r="C10" s="7" t="inlineStr">
        <is>
          <t>+22%: continued fade; training stays NVDA-anchored, inference contested. EBIT margin 55.5%.</t>
        </is>
      </c>
    </row>
    <row r="11">
      <c r="A11" s="4" t="inlineStr">
        <is>
          <t>FY2031 FCF</t>
        </is>
      </c>
      <c r="B11" s="3" t="inlineStr">
        <is>
          <t>447.7B</t>
        </is>
      </c>
      <c r="C11" s="7" t="inlineStr">
        <is>
          <t>+16%: year-5 growth; 5y revenue CAGR lands ~38%. AI capex still expanding but maturing (Damodaran).</t>
        </is>
      </c>
    </row>
    <row r="12">
      <c r="A12" s="4" t="inlineStr">
        <is>
          <t>FY2032 FCF</t>
        </is>
      </c>
      <c r="B12" s="3" t="inlineStr">
        <is>
          <t>484.9B</t>
        </is>
      </c>
      <c r="C12" s="7" t="inlineStr">
        <is>
          <t>+11.5%: double-digit growth with multiple compression as the market prices maturation. Software/networking attach provides a margin floor. EBIT 52.5%.</t>
        </is>
      </c>
    </row>
    <row r="13">
      <c r="A13" s="4" t="inlineStr">
        <is>
          <t>FY2033 FCF</t>
        </is>
      </c>
      <c r="B13" s="3" t="inlineStr">
        <is>
          <t>515.8B</t>
        </is>
      </c>
      <c r="C13" s="7" t="inlineStr">
        <is>
          <t>+8.5%: approaching cyclical maturity; 5-year GPU refresh supports steady-state demand. EBIT 51.5%.</t>
        </is>
      </c>
    </row>
    <row r="14">
      <c r="A14" s="4" t="inlineStr">
        <is>
          <t>FY2034 FCF</t>
        </is>
      </c>
      <c r="B14" s="3" t="inlineStr">
        <is>
          <t>538.4B</t>
        </is>
      </c>
      <c r="C14" s="7" t="inlineStr">
        <is>
          <t>+6.5%: mature growth; networking + software a larger mix share. EBIT 50.5%.</t>
        </is>
      </c>
    </row>
    <row r="15">
      <c r="A15" s="4" t="inlineStr">
        <is>
          <t>FY2035 FCF</t>
        </is>
      </c>
      <c r="B15" s="3" t="inlineStr">
        <is>
          <t>553.8B</t>
        </is>
      </c>
      <c r="C15" s="7" t="inlineStr">
        <is>
          <t>+5.0%: entering terminal; AI compute treated as infrastructure utility. EBIT 49.5%.</t>
        </is>
      </c>
    </row>
    <row r="16">
      <c r="A16" s="4" t="inlineStr">
        <is>
          <t>FY2036 FCF</t>
        </is>
      </c>
      <c r="B16" s="3" t="inlineStr">
        <is>
          <t>566.6B</t>
        </is>
      </c>
      <c r="C16" s="7" t="inlineStr">
        <is>
          <t>+4.5%: terminal-state operating profile, EBIT margin 48.5% (still elite, honestly eroded from 60% by competition and customer ASICs). Damodaran.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2026-06-14T07:52:58Z</dcterms:created>
  <dcterms:modified xmlns:dcterms="http://purl.org/dc/terms/" xmlns:xsi="http://www.w3.org/2001/XMLSchema-instance" xsi:type="dcterms:W3CDTF">2026-06-14T07:52:58Z</dcterms:modified>
</cp:coreProperties>
</file>