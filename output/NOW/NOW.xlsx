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ootball Field" sheetId="2" state="visible" r:id="rId2"/>
    <sheet name="DCF (Damodaran)" sheetId="3" state="visible" r:id="rId3"/>
    <sheet name="Owner Earnings" sheetId="4" state="visible" r:id="rId4"/>
    <sheet name="EV-EBITDA" sheetId="5" state="visible" r:id="rId5"/>
    <sheet name="Residual Income" sheetId="6" state="visible" r:id="rId6"/>
    <sheet name="Panel" sheetId="7" state="visible" r:id="rId7"/>
    <sheet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color rgb="006B7280"/>
      <sz val="9"/>
    </font>
    <font>
      <name val="Calibri"/>
      <color rgb="00111827"/>
      <sz val="10"/>
    </font>
    <font>
      <name val="Calibri"/>
      <b val="1"/>
      <color rgb="006B7280"/>
      <sz val="9"/>
    </font>
    <font>
      <name val="Calibri"/>
      <b val="1"/>
      <color rgb="00111827"/>
      <sz val="12"/>
    </font>
    <font>
      <b val="1"/>
      <color rgb="00111827"/>
      <sz val="10"/>
    </font>
    <font>
      <color rgb="00991B1B"/>
      <sz val="10"/>
    </font>
    <font>
      <color rgb="00166534"/>
      <sz val="10"/>
    </font>
    <font>
      <b val="1"/>
      <color rgb="00B45309"/>
      <sz val="10"/>
    </font>
    <font>
      <b val="1"/>
      <color rgb="00166534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Football field (implied value per share)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'Football Field'!K4</f>
            </strRef>
          </tx>
          <spPr>
            <a:solidFill>
              <a:srgbClr val="FFFFFF"/>
            </a:solidFill>
            <a:ln>
              <a:noFill/>
              <a:prstDash val="solid"/>
            </a:ln>
          </spPr>
          <cat>
            <numRef>
              <f>'Football Field'!$J$5:$J$8</f>
            </numRef>
          </cat>
          <val>
            <numRef>
              <f>'Football Field'!$K$5:$K$8</f>
            </numRef>
          </val>
        </ser>
        <ser>
          <idx val="1"/>
          <order val="1"/>
          <tx>
            <strRef>
              <f>'Football Field'!L4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'Football Field'!$J$5:$J$8</f>
            </numRef>
          </cat>
          <val>
            <numRef>
              <f>'Football Field'!$L$5:$L$8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NOW - ServiceNow, Inc.</t>
        </is>
      </c>
    </row>
    <row r="2">
      <c r="A2" s="2" t="inlineStr">
        <is>
          <t>Software - Infrastructure</t>
        </is>
      </c>
    </row>
    <row r="3">
      <c r="A3" s="3" t="inlineStr"/>
    </row>
    <row r="4">
      <c r="A4" s="4" t="inlineStr">
        <is>
          <t>Engine</t>
        </is>
      </c>
      <c r="B4" s="5" t="inlineStr">
        <is>
          <t>srqt2/ai-hedge-fund (translated)</t>
        </is>
      </c>
    </row>
    <row r="5">
      <c r="A5" s="4" t="inlineStr">
        <is>
          <t>Recommendation</t>
        </is>
      </c>
      <c r="B5" s="5" t="inlineStr">
        <is>
          <t>HOLD  (neutral)</t>
        </is>
      </c>
    </row>
    <row r="6">
      <c r="A6" s="4" t="inlineStr">
        <is>
          <t>Current price</t>
        </is>
      </c>
      <c r="B6" s="5" t="inlineStr">
        <is>
          <t>$102</t>
        </is>
      </c>
    </row>
    <row r="7">
      <c r="A7" s="4" t="inlineStr">
        <is>
          <t>12m target (DCF blend)</t>
        </is>
      </c>
      <c r="B7" s="5" t="inlineStr">
        <is>
          <t>$101  (-0.7%)</t>
        </is>
      </c>
    </row>
    <row r="8">
      <c r="A8" s="4" t="inlineStr">
        <is>
          <t>Primary method</t>
        </is>
      </c>
      <c r="B8" s="5" t="inlineStr">
        <is>
          <t>DCF (FCFF, Damodaran owner-earnings, SBC-charged)</t>
        </is>
      </c>
    </row>
    <row r="9">
      <c r="A9" s="4" t="inlineStr">
        <is>
          <t>Method rationale</t>
        </is>
      </c>
      <c r="B9" s="5" t="inlineStr">
        <is>
          <t>Non-bank software platform with large, predictable FCF; Damodaran's FCFF DCF with SBC charged as a real cost is the most intellectually honest method. The AHF panel's distinction from GER is the SBC discipline: starting from owner-earnings ($2.58B) rather than reported FCF ($4.53B) charges the real dilution cost to shareholders. WACC at an honest 9.47% from the real beta (0.927) rather than a sanitized downward estimate.</t>
        </is>
      </c>
    </row>
    <row r="10">
      <c r="A10" s="3" t="inlineStr"/>
    </row>
    <row r="11">
      <c r="A11" s="4" t="inlineStr">
        <is>
          <t>Panel distribution</t>
        </is>
      </c>
      <c r="B11" s="5" t="inlineStr">
        <is>
          <t>0 constructive / 13 neutral / 0 cautious (of 13) - descriptive only</t>
        </is>
      </c>
    </row>
    <row r="12">
      <c r="A12" s="4" t="inlineStr">
        <is>
          <t>Consensus fair value</t>
        </is>
      </c>
      <c r="B12" s="5" t="inlineStr">
        <is>
          <t>$101  (-0.7% vs price)  -&gt;  HOLD</t>
        </is>
      </c>
    </row>
    <row r="13">
      <c r="A13" s="4" t="inlineStr">
        <is>
          <t>Top bull</t>
        </is>
      </c>
      <c r="B13" s="5" t="inlineStr">
        <is>
          <t>bill_ackman: EV/FCF 20.1x, $153 DCF intrinsic, 33% MoS, AI governance demand is NET additive to the platform</t>
        </is>
      </c>
    </row>
    <row r="14">
      <c r="A14" s="4" t="inlineStr">
        <is>
          <t>Top bear</t>
        </is>
      </c>
      <c r="B14" s="5" t="inlineStr">
        <is>
          <t>ben_graham: 393% premium to Graham Number $20.73; NCAV -$4.09; current ratio 0.845; zero dividend record</t>
        </is>
      </c>
    </row>
    <row r="15">
      <c r="A15" s="4" t="inlineStr">
        <is>
          <t>How the call was reached</t>
        </is>
      </c>
      <c r="B15" s="5" t="inlineStr">
        <is>
          <t>0 constructive / 13 neutral / 0 cautious. The 12m target is the confidence-weighted consensus of every analyst's fair value, not a vote and not any single model ($101); it sits right at the $102 price, so the call is HOLD. The strict harsh-WACC FCFF DCF ($142) is one bar on the field and is carried as the headline valuation risk.</t>
        </is>
      </c>
    </row>
    <row r="16">
      <c r="A16" s="3" t="inlineStr"/>
    </row>
    <row r="17">
      <c r="A17" s="4" t="inlineStr">
        <is>
          <t>Position limit (risk mgr)</t>
        </is>
      </c>
      <c r="B17" s="5" t="inlineStr">
        <is>
          <t>1.0%</t>
        </is>
      </c>
    </row>
    <row r="18">
      <c r="A18" s="4" t="inlineStr">
        <is>
          <t>For research only</t>
        </is>
      </c>
      <c r="B18" s="5" t="inlineStr">
        <is>
          <t>Not financial advice. Valuation math is deterministic; assumptions are the panel's.</t>
        </is>
      </c>
    </row>
  </sheetData>
  <mergeCells count="5">
    <mergeCell ref="A16:B16"/>
    <mergeCell ref="A2:B2"/>
    <mergeCell ref="A10:B10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50" customWidth="1" min="8" max="8"/>
    <col hidden="1" width="13" customWidth="1" min="10" max="10"/>
    <col hidden="1" width="13" customWidth="1" min="11" max="11"/>
    <col hidden="1" width="13" customWidth="1" min="12" max="12"/>
  </cols>
  <sheetData>
    <row r="1">
      <c r="A1" s="6" t="inlineStr">
        <is>
          <t>Football field - implied value per share by agent / method</t>
        </is>
      </c>
    </row>
    <row r="2">
      <c r="A2" s="7" t="inlineStr">
        <is>
          <t>Each row is an independent valuation lens from the panel. Bars span low-high; point methods show a single estimate. Compare to current price and the PM blended target.</t>
        </is>
      </c>
    </row>
    <row r="4">
      <c r="A4" s="8" t="inlineStr">
        <is>
          <t>Method / Agent</t>
        </is>
      </c>
      <c r="B4" s="8" t="inlineStr">
        <is>
          <t>Source</t>
        </is>
      </c>
      <c r="C4" s="8" t="inlineStr">
        <is>
          <t>Low</t>
        </is>
      </c>
      <c r="D4" s="8" t="inlineStr">
        <is>
          <t>Base</t>
        </is>
      </c>
      <c r="E4" s="8" t="inlineStr">
        <is>
          <t>High</t>
        </is>
      </c>
      <c r="F4" s="8" t="inlineStr">
        <is>
          <t>vs Price %</t>
        </is>
      </c>
      <c r="G4" s="8" t="inlineStr">
        <is>
          <t>Kind</t>
        </is>
      </c>
      <c r="H4" s="8" t="inlineStr">
        <is>
          <t>Note</t>
        </is>
      </c>
      <c r="K4" t="inlineStr">
        <is>
          <t>offset</t>
        </is>
      </c>
      <c r="L4" t="inlineStr">
        <is>
          <t>span</t>
        </is>
      </c>
    </row>
    <row r="5">
      <c r="A5" s="3" t="inlineStr">
        <is>
          <t>Peer EV/EBITDA (SaaS composite)</t>
        </is>
      </c>
      <c r="B5" s="2" t="inlineStr">
        <is>
          <t>relative</t>
        </is>
      </c>
      <c r="C5" s="3" t="n">
        <v>53.23</v>
      </c>
      <c r="D5" s="9" t="n">
        <v>53.23</v>
      </c>
      <c r="E5" s="3" t="n">
        <v>53.23</v>
      </c>
      <c r="F5" s="10" t="n">
        <v>-47.9</v>
      </c>
      <c r="G5" s="2" t="inlineStr">
        <is>
          <t>relative</t>
        </is>
      </c>
      <c r="H5" s="7" t="inlineStr"/>
      <c r="J5" t="inlineStr">
        <is>
          <t>Peer EV/EBITDA (SaaS composi  $53</t>
        </is>
      </c>
      <c r="K5" t="n">
        <v>53.23</v>
      </c>
      <c r="L5" t="n">
        <v>1.2258</v>
      </c>
    </row>
    <row r="6">
      <c r="A6" s="3" t="inlineStr">
        <is>
          <t>FCFF DCF (Damodaran)</t>
        </is>
      </c>
      <c r="B6" s="2" t="inlineStr">
        <is>
          <t>aswath_damodaran</t>
        </is>
      </c>
      <c r="C6" s="3" t="n">
        <v>62.26</v>
      </c>
      <c r="D6" s="9" t="n">
        <v>142.41</v>
      </c>
      <c r="E6" s="3" t="n">
        <v>191.04</v>
      </c>
      <c r="F6" s="11" t="n">
        <v>39.4</v>
      </c>
      <c r="G6" s="2" t="inlineStr">
        <is>
          <t>dcf</t>
        </is>
      </c>
      <c r="H6" s="7" t="inlineStr">
        <is>
          <t>One analyst's rigorous DCF. The headline target is the panel consensus, not this bar.</t>
        </is>
      </c>
      <c r="J6" t="inlineStr">
        <is>
          <t>FCFF DCF (Damodaran)  $62-191</t>
        </is>
      </c>
      <c r="K6" t="n">
        <v>62.26</v>
      </c>
      <c r="L6" t="n">
        <v>128.78</v>
      </c>
    </row>
    <row r="7">
      <c r="A7" s="12" t="inlineStr">
        <is>
          <t>Current price</t>
        </is>
      </c>
      <c r="D7" s="12" t="n">
        <v>102.15</v>
      </c>
      <c r="J7" t="inlineStr">
        <is>
          <t>&gt;&gt; Current price  $102</t>
        </is>
      </c>
      <c r="K7" t="n">
        <v>101.5371</v>
      </c>
      <c r="L7" t="n">
        <v>1.2258</v>
      </c>
    </row>
    <row r="8">
      <c r="A8" s="13" t="inlineStr">
        <is>
          <t>PM blended target</t>
        </is>
      </c>
      <c r="D8" s="13" t="n">
        <v>101.48</v>
      </c>
      <c r="J8" t="inlineStr">
        <is>
          <t>&gt;&gt; PM blended target  $101</t>
        </is>
      </c>
      <c r="K8" t="n">
        <v>100.8671</v>
      </c>
      <c r="L8" t="n">
        <v>1.2258</v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6" t="inlineStr">
        <is>
          <t>DCF (FCFF) - Aswath Damodaran's inputs</t>
        </is>
      </c>
    </row>
    <row r="2">
      <c r="A2" s="7" t="inlineStr">
        <is>
          <t>NOW is a capital-light enterprise SaaS platform that converts subscription revenue into real cash, so a 10-year FCFF DCF is the right primary lens. The AHF distinction from GER is honesty on two fronts: the real CAPM beta of 0.927 (not sanitized) and, more importantly, owner-earnings FCF that CHARGES stock-based comp as the real cost it is, starting the margin near 18.5% rather than crediting the 32% reported FCF margin that the SBC add-back inflates. Source: aswath_damodaran (primary), valuation specialist.</t>
        </is>
      </c>
    </row>
    <row r="4">
      <c r="A4" s="6" t="inlineStr">
        <is>
          <t>WACC</t>
        </is>
      </c>
      <c r="B4" s="6" t="inlineStr">
        <is>
          <t>9.47%</t>
        </is>
      </c>
    </row>
    <row r="5">
      <c r="A5" s="4" t="inlineStr">
        <is>
          <t>components</t>
        </is>
      </c>
      <c r="B5" s="7" t="inlineStr">
        <is>
          <t>rf=0.0449, beta=0.927, erp=0.055, debt_weight=0.022, cost_of_debt_after_tax=0.0418</t>
        </is>
      </c>
    </row>
    <row r="6">
      <c r="A6" s="4" t="inlineStr">
        <is>
          <t>reasoning</t>
        </is>
      </c>
      <c r="B6" s="7" t="inlineStr">
        <is>
          <t>Ke = rf + beta x ERP = 4.49% + 0.927 x 5.5% = 9.59%. The real regression beta of 0.927 is used as-is, not softened. After-tax Kd = 5.5% pretax x (1 - 0.24) = 4.18%. Market-value weights: equity $105.3B (97.8%), debt $2.40B (2.2%). WACC = 0.978 x 9.59% + 0.022 x 4.18% = 9.47%. Source: aswath_damodaran.</t>
        </is>
      </c>
    </row>
    <row r="7"/>
    <row r="8"/>
    <row r="10">
      <c r="A10" s="6" t="inlineStr">
        <is>
          <t>Terminal growth</t>
        </is>
      </c>
      <c r="B10" s="6" t="inlineStr">
        <is>
          <t>4.49%</t>
        </is>
      </c>
    </row>
    <row r="11">
      <c r="A11" s="4" t="inlineStr">
        <is>
          <t>reasoning</t>
        </is>
      </c>
      <c r="B11" s="7" t="inlineStr">
        <is>
          <t>Set AT the 10-year risk-free rate (4.49%), never above it. Damodaran discipline: no firm outgrows the economy in perpetuity. By FY35 NOW is a mature enterprise infrastructure layer growing with nominal GDP. Source: aswath_damodaran.</t>
        </is>
      </c>
    </row>
    <row r="12"/>
    <row r="14">
      <c r="A14" s="8" t="inlineStr">
        <is>
          <t>Year</t>
        </is>
      </c>
      <c r="B14" s="8" t="inlineStr">
        <is>
          <t>Revenue</t>
        </is>
      </c>
      <c r="C14" s="8" t="inlineStr">
        <is>
          <t>Growth</t>
        </is>
      </c>
      <c r="D14" s="8" t="inlineStr">
        <is>
          <t>EBIT mgn</t>
        </is>
      </c>
      <c r="E14" s="8" t="inlineStr">
        <is>
          <t>EBIT</t>
        </is>
      </c>
      <c r="F14" s="8" t="inlineStr">
        <is>
          <t>NOPAT</t>
        </is>
      </c>
      <c r="G14" s="8" t="inlineStr">
        <is>
          <t>D&amp;A</t>
        </is>
      </c>
      <c r="H14" s="8" t="inlineStr">
        <is>
          <t>Capex</t>
        </is>
      </c>
      <c r="I14" s="8" t="inlineStr">
        <is>
          <t>dNWC</t>
        </is>
      </c>
      <c r="J14" s="8" t="inlineStr">
        <is>
          <t>FCFF</t>
        </is>
      </c>
    </row>
    <row r="15">
      <c r="A15" s="3" t="n">
        <v>2026</v>
      </c>
      <c r="B15" s="3" t="n">
        <v>16.47</v>
      </c>
      <c r="C15" t="inlineStr"/>
      <c r="D15" t="inlineStr"/>
      <c r="E15" s="3" t="n"/>
      <c r="F15" s="3" t="n"/>
      <c r="G15" s="3" t="n"/>
      <c r="H15" s="3" t="n"/>
      <c r="I15" s="3" t="n"/>
      <c r="J15" s="14" t="n">
        <v>3.187</v>
      </c>
    </row>
    <row r="16">
      <c r="A16" s="3" t="n">
        <v>2027</v>
      </c>
      <c r="B16" s="3" t="n">
        <v>19.27</v>
      </c>
      <c r="C16" t="inlineStr"/>
      <c r="D16" t="inlineStr"/>
      <c r="E16" s="3" t="n"/>
      <c r="F16" s="3" t="n"/>
      <c r="G16" s="3" t="n"/>
      <c r="H16" s="3" t="n"/>
      <c r="I16" s="3" t="n"/>
      <c r="J16" s="14" t="n">
        <v>3.893</v>
      </c>
    </row>
    <row r="17">
      <c r="A17" s="3" t="n">
        <v>2028</v>
      </c>
      <c r="B17" s="3" t="n">
        <v>22.36</v>
      </c>
      <c r="C17" t="inlineStr"/>
      <c r="D17" t="inlineStr"/>
      <c r="E17" s="3" t="n"/>
      <c r="F17" s="3" t="n"/>
      <c r="G17" s="3" t="n"/>
      <c r="H17" s="3" t="n"/>
      <c r="I17" s="3" t="n"/>
      <c r="J17" s="14" t="n">
        <v>4.706</v>
      </c>
    </row>
    <row r="18">
      <c r="A18" s="3" t="n">
        <v>2029</v>
      </c>
      <c r="B18" s="3" t="n">
        <v>25.71</v>
      </c>
      <c r="C18" t="inlineStr"/>
      <c r="D18" t="inlineStr"/>
      <c r="E18" s="3" t="n"/>
      <c r="F18" s="3" t="n"/>
      <c r="G18" s="3" t="n"/>
      <c r="H18" s="3" t="n"/>
      <c r="I18" s="3" t="n"/>
      <c r="J18" s="14" t="n">
        <v>5.631</v>
      </c>
    </row>
    <row r="19">
      <c r="A19" s="3" t="n">
        <v>2030</v>
      </c>
      <c r="B19" s="3" t="n">
        <v>29.31</v>
      </c>
      <c r="C19" t="inlineStr"/>
      <c r="D19" t="inlineStr"/>
      <c r="E19" s="3" t="n"/>
      <c r="F19" s="3" t="n"/>
      <c r="G19" s="3" t="n"/>
      <c r="H19" s="3" t="n"/>
      <c r="I19" s="3" t="n"/>
      <c r="J19" s="14" t="n">
        <v>6.668</v>
      </c>
    </row>
    <row r="20">
      <c r="A20" s="3" t="n">
        <v>2031</v>
      </c>
      <c r="B20" s="3" t="n">
        <v>32.83</v>
      </c>
      <c r="C20" t="inlineStr"/>
      <c r="D20" t="inlineStr"/>
      <c r="E20" s="3" t="n"/>
      <c r="F20" s="3" t="n"/>
      <c r="G20" s="3" t="n"/>
      <c r="H20" s="3" t="n"/>
      <c r="I20" s="3" t="n"/>
      <c r="J20" s="14" t="n">
        <v>7.747</v>
      </c>
    </row>
    <row r="21">
      <c r="A21" s="3" t="n">
        <v>2032</v>
      </c>
      <c r="B21" s="3" t="n">
        <v>36.11</v>
      </c>
      <c r="C21" t="inlineStr"/>
      <c r="D21" t="inlineStr"/>
      <c r="E21" s="3" t="n"/>
      <c r="F21" s="3" t="n"/>
      <c r="G21" s="3" t="n"/>
      <c r="H21" s="3" t="n"/>
      <c r="I21" s="3" t="n"/>
      <c r="J21" s="14" t="n">
        <v>8.829000000000001</v>
      </c>
    </row>
    <row r="22">
      <c r="A22" s="3" t="n">
        <v>2033</v>
      </c>
      <c r="B22" s="3" t="n">
        <v>39</v>
      </c>
      <c r="C22" t="inlineStr"/>
      <c r="D22" t="inlineStr"/>
      <c r="E22" s="3" t="n"/>
      <c r="F22" s="3" t="n"/>
      <c r="G22" s="3" t="n"/>
      <c r="H22" s="3" t="n"/>
      <c r="I22" s="3" t="n"/>
      <c r="J22" s="14" t="n">
        <v>9.867000000000001</v>
      </c>
    </row>
    <row r="23">
      <c r="A23" s="3" t="n">
        <v>2034</v>
      </c>
      <c r="B23" s="3" t="n">
        <v>41.73</v>
      </c>
      <c r="C23" t="inlineStr"/>
      <c r="D23" t="inlineStr"/>
      <c r="E23" s="3" t="n"/>
      <c r="F23" s="3" t="n"/>
      <c r="G23" s="3" t="n"/>
      <c r="H23" s="3" t="n"/>
      <c r="I23" s="3" t="n"/>
      <c r="J23" s="14" t="n">
        <v>10.912</v>
      </c>
    </row>
    <row r="24">
      <c r="A24" s="3" t="n">
        <v>2035</v>
      </c>
      <c r="B24" s="3" t="n">
        <v>44.23</v>
      </c>
      <c r="C24" t="inlineStr"/>
      <c r="D24" t="inlineStr"/>
      <c r="E24" s="3" t="n"/>
      <c r="F24" s="3" t="n"/>
      <c r="G24" s="3" t="n"/>
      <c r="H24" s="3" t="n"/>
      <c r="I24" s="3" t="n"/>
      <c r="J24" s="14" t="n">
        <v>11.943</v>
      </c>
    </row>
    <row r="26">
      <c r="A26" s="4" t="inlineStr">
        <is>
          <t>PV explicit FCF</t>
        </is>
      </c>
      <c r="B26" s="3" t="n">
        <v>41.548</v>
      </c>
    </row>
    <row r="27">
      <c r="A27" s="4" t="inlineStr">
        <is>
          <t>PV terminal value</t>
        </is>
      </c>
      <c r="B27" s="3" t="n">
        <v>101.393</v>
      </c>
    </row>
    <row r="28">
      <c r="A28" s="4" t="inlineStr">
        <is>
          <t>Implied EV</t>
        </is>
      </c>
      <c r="B28" s="3" t="n">
        <v>142.941</v>
      </c>
    </row>
    <row r="29">
      <c r="A29" s="4" t="inlineStr">
        <is>
          <t>Less net debt</t>
        </is>
      </c>
      <c r="B29" s="3" t="n">
        <v>-3.881</v>
      </c>
    </row>
    <row r="30">
      <c r="A30" s="6" t="inlineStr">
        <is>
          <t>Implied price / share</t>
        </is>
      </c>
      <c r="B30" s="6" t="inlineStr">
        <is>
          <t>$142</t>
        </is>
      </c>
    </row>
  </sheetData>
  <mergeCells count="4">
    <mergeCell ref="B5:H5"/>
    <mergeCell ref="A2:H2"/>
    <mergeCell ref="B6:H8"/>
    <mergeCell ref="B11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6" t="inlineStr">
        <is>
          <t>Owner Earnings</t>
        </is>
      </c>
    </row>
    <row r="2">
      <c r="A2" s="2" t="inlineStr">
        <is>
          <t>Source: valuation specialist</t>
        </is>
      </c>
    </row>
    <row r="4">
      <c r="A4" s="6" t="inlineStr">
        <is>
          <t>Implied price / share</t>
        </is>
      </c>
      <c r="B4" s="6" t="inlineStr">
        <is>
          <t>n/a</t>
        </is>
      </c>
    </row>
    <row r="6">
      <c r="A6" s="4" t="inlineStr">
        <is>
          <t>Gap vs price</t>
        </is>
      </c>
      <c r="B6" s="5" t="inlineStr">
        <is>
          <t>%</t>
        </is>
      </c>
    </row>
    <row r="7">
      <c r="A7" s="4" t="inlineStr">
        <is>
          <t>Detail</t>
        </is>
      </c>
      <c r="B7" s="5" t="inlineStr"/>
    </row>
  </sheetData>
  <mergeCells count="2">
    <mergeCell ref="B6:H6"/>
    <mergeCell ref="B7:H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6" t="inlineStr">
        <is>
          <t>EV / EBITDA (relative)</t>
        </is>
      </c>
    </row>
    <row r="2">
      <c r="A2" s="2" t="inlineStr">
        <is>
          <t>Source: valuation specialist</t>
        </is>
      </c>
    </row>
    <row r="4">
      <c r="A4" s="6" t="inlineStr">
        <is>
          <t>Implied price / share</t>
        </is>
      </c>
      <c r="B4" s="6" t="inlineStr">
        <is>
          <t>n/a</t>
        </is>
      </c>
    </row>
    <row r="6">
      <c r="A6" s="4" t="inlineStr">
        <is>
          <t>Historical median x</t>
        </is>
      </c>
      <c r="B6" s="5" t="inlineStr"/>
    </row>
    <row r="7">
      <c r="A7" s="4" t="inlineStr">
        <is>
          <t>Peer median x</t>
        </is>
      </c>
      <c r="B7" s="5" t="inlineStr"/>
    </row>
    <row r="8">
      <c r="A8" s="4" t="inlineStr">
        <is>
          <t>Gap vs price</t>
        </is>
      </c>
      <c r="B8" s="5" t="inlineStr">
        <is>
          <t>%</t>
        </is>
      </c>
    </row>
  </sheetData>
  <mergeCells count="3">
    <mergeCell ref="B6:H6"/>
    <mergeCell ref="B8:H8"/>
    <mergeCell ref="B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6" t="inlineStr">
        <is>
          <t>Residual Income</t>
        </is>
      </c>
    </row>
    <row r="2">
      <c r="A2" s="2" t="inlineStr">
        <is>
          <t>Source: valuation specialist</t>
        </is>
      </c>
    </row>
    <row r="4">
      <c r="A4" s="6" t="inlineStr">
        <is>
          <t>Implied price / share</t>
        </is>
      </c>
      <c r="B4" s="6" t="inlineStr">
        <is>
          <t>n/a</t>
        </is>
      </c>
    </row>
    <row r="6">
      <c r="A6" s="4" t="inlineStr">
        <is>
          <t>Book value / share</t>
        </is>
      </c>
      <c r="B6" s="5" t="inlineStr"/>
    </row>
    <row r="7">
      <c r="A7" s="4" t="inlineStr">
        <is>
          <t>Cost of equity</t>
        </is>
      </c>
      <c r="B7" s="5" t="inlineStr">
        <is>
          <t>%</t>
        </is>
      </c>
    </row>
    <row r="8">
      <c r="A8" s="4" t="inlineStr">
        <is>
          <t>Gap vs price</t>
        </is>
      </c>
      <c r="B8" s="5" t="inlineStr">
        <is>
          <t>%</t>
        </is>
      </c>
    </row>
  </sheetData>
  <mergeCells count="3">
    <mergeCell ref="B6:H6"/>
    <mergeCell ref="B8:H8"/>
    <mergeCell ref="B7:H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7" customWidth="1" min="4" max="4"/>
    <col width="99" customWidth="1" min="5" max="5"/>
  </cols>
  <sheetData>
    <row r="1">
      <c r="A1" s="6" t="inlineStr">
        <is>
          <t>The panel - 13 personas + 6 specialists</t>
        </is>
      </c>
    </row>
    <row r="2">
      <c r="A2" s="2" t="inlineStr">
        <is>
          <t>Weighted vote  -&gt;   |  0 bull / 13 neutral / 0 bear</t>
        </is>
      </c>
    </row>
    <row r="4">
      <c r="A4" s="8" t="inlineStr">
        <is>
          <t>Persona</t>
        </is>
      </c>
      <c r="B4" s="8" t="inlineStr">
        <is>
          <t>Lens</t>
        </is>
      </c>
      <c r="C4" s="8" t="inlineStr">
        <is>
          <t>Signal</t>
        </is>
      </c>
      <c r="D4" s="8" t="inlineStr">
        <is>
          <t>Conf</t>
        </is>
      </c>
      <c r="E4" s="8" t="inlineStr">
        <is>
          <t>Reasoning</t>
        </is>
      </c>
    </row>
    <row r="5">
      <c r="A5" s="3" t="inlineStr">
        <is>
          <t>Warren Buffett</t>
        </is>
      </c>
      <c r="B5" s="2" t="inlineStr">
        <is>
          <t>bull</t>
        </is>
      </c>
      <c r="C5" s="12" t="inlineStr">
        <is>
          <t>neutral</t>
        </is>
      </c>
      <c r="D5" s="3" t="n"/>
      <c r="E5" s="7" t="inlineStr"/>
    </row>
    <row r="6">
      <c r="A6" s="3" t="inlineStr">
        <is>
          <t>Charlie Munger</t>
        </is>
      </c>
      <c r="B6" s="2" t="inlineStr">
        <is>
          <t>bull</t>
        </is>
      </c>
      <c r="C6" s="12" t="inlineStr">
        <is>
          <t>neutral</t>
        </is>
      </c>
      <c r="D6" s="3" t="n"/>
      <c r="E6" s="7" t="inlineStr"/>
    </row>
    <row r="7">
      <c r="A7" s="3" t="inlineStr">
        <is>
          <t>Peter Lynch</t>
        </is>
      </c>
      <c r="B7" s="2" t="inlineStr">
        <is>
          <t>bull</t>
        </is>
      </c>
      <c r="C7" s="12" t="inlineStr">
        <is>
          <t>neutral</t>
        </is>
      </c>
      <c r="D7" s="3" t="n"/>
      <c r="E7" s="7" t="inlineStr"/>
    </row>
    <row r="8">
      <c r="A8" s="3" t="inlineStr">
        <is>
          <t>Phil Fisher</t>
        </is>
      </c>
      <c r="B8" s="2" t="inlineStr">
        <is>
          <t>bull</t>
        </is>
      </c>
      <c r="C8" s="12" t="inlineStr">
        <is>
          <t>neutral</t>
        </is>
      </c>
      <c r="D8" s="3" t="n"/>
      <c r="E8" s="7" t="inlineStr"/>
    </row>
    <row r="9">
      <c r="A9" s="3" t="inlineStr">
        <is>
          <t>Cathie Wood</t>
        </is>
      </c>
      <c r="B9" s="2" t="inlineStr">
        <is>
          <t>bull</t>
        </is>
      </c>
      <c r="C9" s="12" t="inlineStr">
        <is>
          <t>neutral</t>
        </is>
      </c>
      <c r="D9" s="3" t="n"/>
      <c r="E9" s="7" t="inlineStr"/>
    </row>
    <row r="10">
      <c r="A10" s="3" t="inlineStr">
        <is>
          <t>Bill Ackman</t>
        </is>
      </c>
      <c r="B10" s="2" t="inlineStr">
        <is>
          <t>bull</t>
        </is>
      </c>
      <c r="C10" s="12" t="inlineStr">
        <is>
          <t>neutral</t>
        </is>
      </c>
      <c r="D10" s="3" t="n"/>
      <c r="E10" s="7" t="inlineStr"/>
    </row>
    <row r="11">
      <c r="A11" s="3" t="inlineStr">
        <is>
          <t>Mohnish Pabrai</t>
        </is>
      </c>
      <c r="B11" s="2" t="inlineStr">
        <is>
          <t>bull</t>
        </is>
      </c>
      <c r="C11" s="12" t="inlineStr">
        <is>
          <t>neutral</t>
        </is>
      </c>
      <c r="D11" s="3" t="n"/>
      <c r="E11" s="7" t="inlineStr"/>
    </row>
    <row r="12">
      <c r="A12" s="3" t="inlineStr">
        <is>
          <t>Stanley Druckenmiller</t>
        </is>
      </c>
      <c r="B12" s="2" t="inlineStr">
        <is>
          <t>bull</t>
        </is>
      </c>
      <c r="C12" s="12" t="inlineStr">
        <is>
          <t>neutral</t>
        </is>
      </c>
      <c r="D12" s="3" t="n"/>
      <c r="E12" s="7" t="inlineStr"/>
    </row>
    <row r="13">
      <c r="A13" s="3" t="inlineStr">
        <is>
          <t>Rakesh Jhunjhunwala</t>
        </is>
      </c>
      <c r="B13" s="2" t="inlineStr">
        <is>
          <t>bull</t>
        </is>
      </c>
      <c r="C13" s="12" t="inlineStr">
        <is>
          <t>neutral</t>
        </is>
      </c>
      <c r="D13" s="3" t="n"/>
      <c r="E13" s="7" t="inlineStr"/>
    </row>
    <row r="14">
      <c r="A14" s="3" t="inlineStr">
        <is>
          <t>Michael Burry</t>
        </is>
      </c>
      <c r="B14" s="2" t="inlineStr">
        <is>
          <t>bear</t>
        </is>
      </c>
      <c r="C14" s="12" t="inlineStr">
        <is>
          <t>neutral</t>
        </is>
      </c>
      <c r="D14" s="3" t="n"/>
      <c r="E14" s="7" t="inlineStr"/>
    </row>
    <row r="15">
      <c r="A15" s="3" t="inlineStr">
        <is>
          <t>Nassim Taleb</t>
        </is>
      </c>
      <c r="B15" s="2" t="inlineStr">
        <is>
          <t>bear</t>
        </is>
      </c>
      <c r="C15" s="12" t="inlineStr">
        <is>
          <t>neutral</t>
        </is>
      </c>
      <c r="D15" s="3" t="n"/>
      <c r="E15" s="7" t="inlineStr"/>
    </row>
    <row r="16">
      <c r="A16" s="3" t="inlineStr">
        <is>
          <t>Ben Graham</t>
        </is>
      </c>
      <c r="B16" s="2" t="inlineStr">
        <is>
          <t>bear</t>
        </is>
      </c>
      <c r="C16" s="12" t="inlineStr">
        <is>
          <t>neutral</t>
        </is>
      </c>
      <c r="D16" s="3" t="n"/>
      <c r="E16" s="7" t="inlineStr"/>
    </row>
    <row r="17">
      <c r="A17" s="3" t="inlineStr">
        <is>
          <t>Aswath Damodaran</t>
        </is>
      </c>
      <c r="B17" s="2" t="inlineStr">
        <is>
          <t>valuation</t>
        </is>
      </c>
      <c r="C17" s="12" t="inlineStr">
        <is>
          <t>neutral</t>
        </is>
      </c>
      <c r="D17" s="3" t="n"/>
      <c r="E17" s="7" t="inlineStr"/>
    </row>
    <row r="20">
      <c r="A20" s="6" t="inlineStr">
        <is>
          <t>Computational specialists</t>
        </is>
      </c>
    </row>
    <row r="21">
      <c r="A21" s="8" t="inlineStr">
        <is>
          <t>Specialist</t>
        </is>
      </c>
      <c r="B21" s="8" t="inlineStr">
        <is>
          <t>Signal</t>
        </is>
      </c>
      <c r="C21" s="8" t="inlineStr">
        <is>
          <t>Conf</t>
        </is>
      </c>
      <c r="D21" s="8" t="inlineStr">
        <is>
          <t>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0" customWidth="1" min="3" max="3"/>
  </cols>
  <sheetData>
    <row r="1">
      <c r="A1" s="6" t="inlineStr">
        <is>
          <t>Assumptions - agent-attributed</t>
        </is>
      </c>
    </row>
    <row r="2">
      <c r="A2" s="2" t="inlineStr">
        <is>
          <t>Every input and the agent whose reasoning set it. This is the A/B vs GER.</t>
        </is>
      </c>
    </row>
    <row r="4">
      <c r="A4" s="8" t="inlineStr">
        <is>
          <t>Input</t>
        </is>
      </c>
      <c r="B4" s="8" t="inlineStr">
        <is>
          <t>Value</t>
        </is>
      </c>
      <c r="C4" s="8" t="inlineStr">
        <is>
          <t>Reasoning (agent-attributed)</t>
        </is>
      </c>
    </row>
    <row r="5">
      <c r="A5" s="4" t="inlineStr">
        <is>
          <t>WACC</t>
        </is>
      </c>
      <c r="B5" s="3" t="inlineStr">
        <is>
          <t>9.47%</t>
        </is>
      </c>
      <c r="C5" s="7" t="inlineStr">
        <is>
          <t>Ke = rf + beta x ERP = 4.49% + 0.927 x 5.5% = 9.59%. The real regression beta of 0.927 is used as-is, not softened. After-tax Kd = 5.5% pretax x (1 - 0.24) = 4.18%. Market-value weights: equity $105.3B (97.8%), debt $2.40B (2.2%). WACC = 0.978 x 9.59% + 0.022 x 4.18% = 9.47%. Source: aswath_damodaran.</t>
        </is>
      </c>
    </row>
    <row r="6">
      <c r="A6" s="4" t="inlineStr">
        <is>
          <t>Terminal growth</t>
        </is>
      </c>
      <c r="B6" s="3" t="inlineStr">
        <is>
          <t>4.49%</t>
        </is>
      </c>
      <c r="C6" s="7" t="inlineStr">
        <is>
          <t>Set AT the 10-year risk-free rate (4.49%), never above it. Damodaran discipline: no firm outgrows the economy in perpetuity. By FY35 NOW is a mature enterprise infrastructure layer growing with nominal GDP. Source: aswath_damodaran.</t>
        </is>
      </c>
    </row>
    <row r="7">
      <c r="A7" s="4" t="inlineStr">
        <is>
          <t>FY2026 FCF</t>
        </is>
      </c>
      <c r="B7" s="3" t="inlineStr">
        <is>
          <t>3.187B</t>
        </is>
      </c>
      <c r="C7" s="7" t="inlineStr">
        <is>
          <t>Revenue +18% off $13.96B base. Owner-earnings FCF margin 19.35%, interpolating up from the SBC-charged 18.5% start. Now Assist begins lifting price per seat while ITSM core still compounds. Source: aswath_damodaran.</t>
        </is>
      </c>
    </row>
    <row r="8">
      <c r="A8" s="4" t="inlineStr">
        <is>
          <t>FY2027 FCF</t>
        </is>
      </c>
      <c r="B8" s="3" t="inlineStr">
        <is>
          <t>3.893B</t>
        </is>
      </c>
      <c r="C8" s="7" t="inlineStr">
        <is>
          <t>Revenue +17%. Margin 20.2% as AI operating leverage and platform expansion across HR/CSM/security build. Source: aswath_damodaran.</t>
        </is>
      </c>
    </row>
    <row r="9">
      <c r="A9" s="4" t="inlineStr">
        <is>
          <t>FY2028 FCF</t>
        </is>
      </c>
      <c r="B9" s="3" t="inlineStr">
        <is>
          <t>4.706B</t>
        </is>
      </c>
      <c r="C9" s="7" t="inlineStr">
        <is>
          <t>Revenue +16%, the assumed 5y high-stage rate. Margin 21.05%. Source: aswath_damodaran.</t>
        </is>
      </c>
    </row>
    <row r="10">
      <c r="A10" s="4" t="inlineStr">
        <is>
          <t>FY2029 FCF</t>
        </is>
      </c>
      <c r="B10" s="3" t="inlineStr">
        <is>
          <t>5.631B</t>
        </is>
      </c>
      <c r="C10" s="7" t="inlineStr">
        <is>
          <t>Revenue +15%. Margin 21.9% as the platform scales and SBC moderates as a share of revenue. Source: aswath_damodaran.</t>
        </is>
      </c>
    </row>
    <row r="11">
      <c r="A11" s="4" t="inlineStr">
        <is>
          <t>FY2030 FCF</t>
        </is>
      </c>
      <c r="B11" s="3" t="inlineStr">
        <is>
          <t>6.668B</t>
        </is>
      </c>
      <c r="C11" s="7" t="inlineStr">
        <is>
          <t>Revenue +14%. Margin 22.75%. ITSM matures but agentic-AI orchestration widens the addressable base. Source: aswath_damodaran.</t>
        </is>
      </c>
    </row>
    <row r="12">
      <c r="A12" s="4" t="inlineStr">
        <is>
          <t>FY2031 FCF</t>
        </is>
      </c>
      <c r="B12" s="3" t="inlineStr">
        <is>
          <t>7.747B</t>
        </is>
      </c>
      <c r="C12" s="7" t="inlineStr">
        <is>
          <t>Revenue +12%. Margin 23.6%, fade underway. Source: aswath_damodaran.</t>
        </is>
      </c>
    </row>
    <row r="13">
      <c r="A13" s="4" t="inlineStr">
        <is>
          <t>FY2032 FCF</t>
        </is>
      </c>
      <c r="B13" s="3" t="inlineStr">
        <is>
          <t>8.829B</t>
        </is>
      </c>
      <c r="C13" s="7" t="inlineStr">
        <is>
          <t>Revenue +10%. Margin 24.45% toward steady state. Source: aswath_damodaran.</t>
        </is>
      </c>
    </row>
    <row r="14">
      <c r="A14" s="4" t="inlineStr">
        <is>
          <t>FY2033 FCF</t>
        </is>
      </c>
      <c r="B14" s="3" t="inlineStr">
        <is>
          <t>9.867B</t>
        </is>
      </c>
      <c r="C14" s="7" t="inlineStr">
        <is>
          <t>Revenue +8%. Margin 25.3%. Source: aswath_damodaran.</t>
        </is>
      </c>
    </row>
    <row r="15">
      <c r="A15" s="4" t="inlineStr">
        <is>
          <t>FY2034 FCF</t>
        </is>
      </c>
      <c r="B15" s="3" t="inlineStr">
        <is>
          <t>10.912B</t>
        </is>
      </c>
      <c r="C15" s="7" t="inlineStr">
        <is>
          <t>Revenue +7%. Margin 26.15%. Source: aswath_damodaran.</t>
        </is>
      </c>
    </row>
    <row r="16">
      <c r="A16" s="4" t="inlineStr">
        <is>
          <t>FY2035 FCF</t>
        </is>
      </c>
      <c r="B16" s="3" t="inlineStr">
        <is>
          <t>11.943B</t>
        </is>
      </c>
      <c r="C16" s="7" t="inlineStr">
        <is>
          <t>Revenue +6%, entering terminal. Owner-earnings FCF margin reaches the 27% steady-state target. Source: aswath_damodaran.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2026-06-15T16:45:21Z</dcterms:created>
  <dcterms:modified xsi:type="dcterms:W3CDTF">2026-06-15T16:45:21Z</dcterms:modified>
</cp:coreProperties>
</file>